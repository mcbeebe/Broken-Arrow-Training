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ultipliers" sheetId="2" state="visible" r:id="rId4"/>
    <sheet name="Cycling MIM" sheetId="3" state="visible" r:id="rId5"/>
    <sheet name="Cycling Calculator" sheetId="4" state="visible" r:id="rId6"/>
    <sheet name="Calculator" sheetId="5" state="visible" r:id="rId7"/>
    <sheet name="Course Examples" sheetId="6" state="visible" r:id="rId8"/>
    <sheet name="Sourc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<sst xmlns="http://schemas.openxmlformats.org/spreadsheetml/2006/main" count="284" uniqueCount="260">
  <si>
    <t xml:space="preserve">Hill Running Load Multipliers</t>
  </si>
  <si>
    <t xml:space="preserve">Version 1.1  |  Compiled April 2026  |  For: Broken Arrow Training app</t>
  </si>
  <si>
    <t xml:space="preserve">WHAT'S NEW IN v1.1</t>
  </si>
  <si>
    <t xml:space="preserve">  • Added 'Cycling MIM' sheet — research-backed musculoskeletal impact multipliers for road cycling, using the same '1.0× = flat running' frame as the hill running tables.</t>
  </si>
  <si>
    <t xml:space="preserve">  • Added 'Cycling Calculator' sheet — convert a cycling session (duration + intensity) to equivalent flat-running load.</t>
  </si>
  <si>
    <t xml:space="preserve">  • Updated Sources sheet with primary cycling biomechanics references.</t>
  </si>
  <si>
    <t xml:space="preserve">  • v1.0 files moved to Archive/ folder.</t>
  </si>
  <si>
    <t xml:space="preserve">PURPOSE</t>
  </si>
  <si>
    <t xml:space="preserve">This workbook quantifies how steep terrain multiplies the load of running and hiking, for both metabolic (energy) cost and mechanical (eccentric/muscle damage) load. Use it to plan effort on hilly courses, build grade-adjusted pace targets, and calibrate training stress on courses like the Broken Arrow Skyrace.</t>
  </si>
  <si>
    <t xml:space="preserve">HOW TO USE THE TABLES</t>
  </si>
  <si>
    <t xml:space="preserve">All multipliers in this workbook are 'instantaneous' or 'segment' grade-based — meaning they apply to a single section of trail at one specific grade. They are NOT meant to be applied to a whole-run average grade. To estimate the load of a mixed course, break it into segments by grade, multiply each segment's distance by its grade multiplier, and sum the result. Strava, COROS, and Stryd do this automatically by sampling grade every few seconds.</t>
  </si>
  <si>
    <t xml:space="preserve">EXAMPLE: A 6 km run with 2 km at +20% (uphill), 2 km flat, 2 km at -10% (downhill) gives an equivalent 'flat load' of: (2×3.0) + (2×1.0) + (2×0.7) = 9.4 km equivalent — a 6 km run with the energetic cost of ~9.4 km of flat running.</t>
  </si>
  <si>
    <t xml:space="preserve">SHEETS</t>
  </si>
  <si>
    <t xml:space="preserve">  • Multipliers      — full grade-by-grade table of running + hiking multipliers</t>
  </si>
  <si>
    <t xml:space="preserve">  • Calculator       — input your route segments to compute total equivalent flat load</t>
  </si>
  <si>
    <t xml:space="preserve">  • Course Examples  — Broken Arrow Skyrace and other named climbs</t>
  </si>
  <si>
    <t xml:space="preserve">  • Sources          — peer-reviewed citations</t>
  </si>
  <si>
    <t xml:space="preserve">KEY DEFINITIONS</t>
  </si>
  <si>
    <t xml:space="preserve">  • Grade %          — vertical rise / horizontal run × 100. (Treadmill 'incline' is grade %.)</t>
  </si>
  <si>
    <t xml:space="preserve">  • Energy multiplier — how much more (or less) metabolic energy a given grade costs vs flat,     derived from Minetti et al. (2002). Baseline of 1.0× = flat running.</t>
  </si>
  <si>
    <t xml:space="preserve">  • Eccentric load   — mechanical/muscle-damage cost of downhill running. NOT captured by     energy cost; metabolically downhill is cheap, but quad damage scales with steepness     and speed. Reported as a qualitative 1–5 scale.</t>
  </si>
  <si>
    <t xml:space="preserve">  • GAP              — Grade Adjusted Pace. The equivalent flat-ground pace you'd be     running at the same effort.</t>
  </si>
  <si>
    <t xml:space="preserve">CONVENTIONS</t>
  </si>
  <si>
    <t xml:space="preserve">  • Yellow cells     = inputs you can change</t>
  </si>
  <si>
    <t xml:space="preserve">  • Blue text        = hardcoded constants from research</t>
  </si>
  <si>
    <t xml:space="preserve">  • Black text       = formula-driven calculations</t>
  </si>
  <si>
    <t xml:space="preserve">IMPORTANT CAVEATS</t>
  </si>
  <si>
    <t xml:space="preserve">  1. The Minetti curve is from 10 trained runners on a treadmill. Individual variation      is substantial — elite mountain runners have notably flatter uphill curves.</t>
  </si>
  <si>
    <t xml:space="preserve">  2. The model assumes smooth, even terrain. Technical trails, scree, snow, and altitude      all add load not captured here.</t>
  </si>
  <si>
    <t xml:space="preserve">  3. At grades steeper than ~28% (15.8°), walking becomes more economical than running.      Above ~35–40%, hands-on-knees power-hiking dominates regardless of fitness.</t>
  </si>
  <si>
    <t xml:space="preserve">  4. Downhill multipliers below 1.0 reflect ENERGY savings only. They do NOT reflect      the mechanical load on quads, which actually rises sharply on steep descents.</t>
  </si>
  <si>
    <t xml:space="preserve">Energy &amp; Mechanical Load Multipliers by Grade</t>
  </si>
  <si>
    <t xml:space="preserve">All multipliers are relative to flat running at 1.00×. Source: Minetti et al. (2002); eccentric load adapted from Vernillo et al. (2021).</t>
  </si>
  <si>
    <t xml:space="preserve">Minetti running coeffs</t>
  </si>
  <si>
    <t xml:space="preserve">a5</t>
  </si>
  <si>
    <t xml:space="preserve">Grade (%)</t>
  </si>
  <si>
    <t xml:space="preserve">Grade (decimal)</t>
  </si>
  <si>
    <t xml:space="preserve">Description</t>
  </si>
  <si>
    <t xml:space="preserve">Run: Energy cost (J/kg/m)</t>
  </si>
  <si>
    <t xml:space="preserve">Run: Energy multiplier (× flat)</t>
  </si>
  <si>
    <t xml:space="preserve">Hike/Walk: Energy multiplier (× flat run)</t>
  </si>
  <si>
    <t xml:space="preserve">Eccentric/Mechanical load (1–5)</t>
  </si>
  <si>
    <t xml:space="preserve">Recommended gait</t>
  </si>
  <si>
    <t xml:space="preserve">a4</t>
  </si>
  <si>
    <t xml:space="preserve">Extreme descent (cliff scramble)</t>
  </si>
  <si>
    <t xml:space="preserve">Down-hike / scramble</t>
  </si>
  <si>
    <t xml:space="preserve">a3</t>
  </si>
  <si>
    <t xml:space="preserve">Extreme descent</t>
  </si>
  <si>
    <t xml:space="preserve">a2</t>
  </si>
  <si>
    <t xml:space="preserve">Very steep descent</t>
  </si>
  <si>
    <t xml:space="preserve">Power-hike / careful run</t>
  </si>
  <si>
    <t xml:space="preserve">a1</t>
  </si>
  <si>
    <t xml:space="preserve">a0 (Cr@0%)</t>
  </si>
  <si>
    <t xml:space="preserve">Steep descent</t>
  </si>
  <si>
    <t xml:space="preserve">Controlled run / hike</t>
  </si>
  <si>
    <t xml:space="preserve">Steep descent (most economical)</t>
  </si>
  <si>
    <t xml:space="preserve">Run with control</t>
  </si>
  <si>
    <t xml:space="preserve">Minetti walking coeffs</t>
  </si>
  <si>
    <t xml:space="preserve">Moderate descent</t>
  </si>
  <si>
    <t xml:space="preserve">Run</t>
  </si>
  <si>
    <t xml:space="preserve">b5</t>
  </si>
  <si>
    <t xml:space="preserve">Optimal descent (energy minimum)</t>
  </si>
  <si>
    <t xml:space="preserve">b4</t>
  </si>
  <si>
    <t xml:space="preserve">Gentle descent</t>
  </si>
  <si>
    <t xml:space="preserve">b3</t>
  </si>
  <si>
    <t xml:space="preserve">Flat</t>
  </si>
  <si>
    <t xml:space="preserve">b2</t>
  </si>
  <si>
    <t xml:space="preserve">Gentle climb</t>
  </si>
  <si>
    <t xml:space="preserve">b1</t>
  </si>
  <si>
    <t xml:space="preserve">Moderate climb</t>
  </si>
  <si>
    <t xml:space="preserve">b0 (Cw@0%)</t>
  </si>
  <si>
    <t xml:space="preserve">Steep climb (run/hike crossover)</t>
  </si>
  <si>
    <t xml:space="preserve">Run or hike</t>
  </si>
  <si>
    <t xml:space="preserve">Very steep climb</t>
  </si>
  <si>
    <t xml:space="preserve">Hike (more economical)</t>
  </si>
  <si>
    <t xml:space="preserve">Hike</t>
  </si>
  <si>
    <t xml:space="preserve">Extreme climb</t>
  </si>
  <si>
    <t xml:space="preserve">Power-hike</t>
  </si>
  <si>
    <t xml:space="preserve">Power-hike with poles</t>
  </si>
  <si>
    <t xml:space="preserve">Near-scramble</t>
  </si>
  <si>
    <t xml:space="preserve">Scramble</t>
  </si>
  <si>
    <t xml:space="preserve">Hike / scramble</t>
  </si>
  <si>
    <t xml:space="preserve">Notes:</t>
  </si>
  <si>
    <t xml:space="preserve">• Running energy multipliers come from the Minetti et al. (2002) 5th-order polynomial.</t>
  </si>
  <si>
    <t xml:space="preserve">• Hike/walk column is calibrated to flat RUNNING — so 1.00× means 'same energy cost as running on the flat'. Walking on the flat is ~0.69× of running on the flat.</t>
  </si>
  <si>
    <t xml:space="preserve">• Cross-over: above roughly +20% grade, walking costs LESS energy than running. This is why even elite mountain runners hike steep sections.</t>
  </si>
  <si>
    <t xml:space="preserve">• Eccentric load is a 1–5 qualitative scale based on the Vernillo et al. (2021) review — it captures muscle damage from braking forces, which is independent of energy cost.</t>
  </si>
  <si>
    <t xml:space="preserve">• At -10% grade, energy cost is at its absolute minimum (~0.5× flat). This is the 'free speed' zone trail runners chase.</t>
  </si>
  <si>
    <t xml:space="preserve">Cycling Musculoskeletal Impact Multipliers</t>
  </si>
  <si>
    <t xml:space="preserve">All multipliers are relative to flat running at 1.00×, in the same frame as the hill running tables. Source: D'Lima (2013), Ericson &amp; Nisell (1986, 1987), Nilsson &amp; Thorstensson (1989).</t>
  </si>
  <si>
    <t xml:space="preserve">Cycling MIM coefficients</t>
  </si>
  <si>
    <t xml:space="preserve">intercept (a)</t>
  </si>
  <si>
    <t xml:space="preserve">Intensity zone</t>
  </si>
  <si>
    <t xml:space="preserve">Power (W) — 70 kg ref</t>
  </si>
  <si>
    <t xml:space="preserve">Intensity Factor (NP/FTP)</t>
  </si>
  <si>
    <t xml:space="preserve">Knee compression (× BW)</t>
  </si>
  <si>
    <t xml:space="preserve">Cycling MIM (× flat run)</t>
  </si>
  <si>
    <t xml:space="preserve">Notes</t>
  </si>
  <si>
    <t xml:space="preserve">slope (b, IF^2 term)</t>
  </si>
  <si>
    <t xml:space="preserve">(reference) Flat running</t>
  </si>
  <si>
    <t xml:space="preserve">Baseline for all multipliers</t>
  </si>
  <si>
    <t xml:space="preserve">—</t>
  </si>
  <si>
    <t xml:space="preserve">From Nilsson &amp; Thorstensson (1989), 2.0–2.9× BW</t>
  </si>
  <si>
    <t xml:space="preserve">Formula</t>
  </si>
  <si>
    <t xml:space="preserve">MIM = a + b × IF²</t>
  </si>
  <si>
    <t xml:space="preserve">Recovery / spin</t>
  </si>
  <si>
    <t xml:space="preserve">Active recovery, easy spinning</t>
  </si>
  <si>
    <t xml:space="preserve">&lt;100</t>
  </si>
  <si>
    <t xml:space="preserve">Below walking-level joint load. Excellent for active recovery between key runs.</t>
  </si>
  <si>
    <t xml:space="preserve">Endurance / Z2</t>
  </si>
  <si>
    <t xml:space="preserve">Steady aerobic base building</t>
  </si>
  <si>
    <t xml:space="preserve">150–200</t>
  </si>
  <si>
    <t xml:space="preserve">The 'workhorse' zone. Builds aerobic fitness with minimal MSK cost.</t>
  </si>
  <si>
    <t xml:space="preserve">Run reference (peak vGRF)</t>
  </si>
  <si>
    <t xml:space="preserve">Tempo / sweet spot</t>
  </si>
  <si>
    <t xml:space="preserve">Moderate-hard sustained effort</t>
  </si>
  <si>
    <t xml:space="preserve">200–260</t>
  </si>
  <si>
    <t xml:space="preserve">Higher metabolic stimulus; knee compression climbs but no impact peak.</t>
  </si>
  <si>
    <t xml:space="preserve">Run @ flat (×BW)</t>
  </si>
  <si>
    <t xml:space="preserve">Threshold (FTP)</t>
  </si>
  <si>
    <t xml:space="preserve">1-hour max sustainable power</t>
  </si>
  <si>
    <t xml:space="preserve">260–290</t>
  </si>
  <si>
    <t xml:space="preserve">Knee load approaches running. Use sparingly with caution if knee-sensitive.</t>
  </si>
  <si>
    <t xml:space="preserve">Cycling @ 120W/60rpm (×BW)</t>
  </si>
  <si>
    <t xml:space="preserve">VO2 max intervals</t>
  </si>
  <si>
    <t xml:space="preserve">3–5 min hard intervals</t>
  </si>
  <si>
    <t xml:space="preserve">290–340</t>
  </si>
  <si>
    <t xml:space="preserve">Brief; aerobic ceiling work. Comparable MSK to easy running.</t>
  </si>
  <si>
    <t xml:space="preserve">Cycling @ 60W/40rpm (×BW)</t>
  </si>
  <si>
    <t xml:space="preserve">Sprints / standing</t>
  </si>
  <si>
    <t xml:space="preserve">Max efforts, standing climbs</t>
  </si>
  <si>
    <t xml:space="preserve">&gt;340</t>
  </si>
  <si>
    <t xml:space="preserve">Knee load matches/exceeds running. Brief duration limits cumulative damage.</t>
  </si>
  <si>
    <t xml:space="preserve">How to read this table:</t>
  </si>
  <si>
    <t xml:space="preserve">• Cycling MIM uses the formula MIM = 0.4 + 0.4 × IF², where IF is Intensity Factor (NP ÷ FTP).</t>
  </si>
  <si>
    <t xml:space="preserve">• At any given IF, cycling MIM is bounded between 0.4× (true recovery) and ~1.0× (sprint power).</t>
  </si>
  <si>
    <t xml:space="preserve">• The 0.5× default for 'normal' road cycling assumes IF ≈ 0.7 — typical Z2 endurance riding.</t>
  </si>
  <si>
    <t xml:space="preserve">• Knee compression values come from in vivo telemetric measurement (D'Lima 2013) and instrumented pedals (Ericson &amp; Nisell 1986/87).</t>
  </si>
  <si>
    <t xml:space="preserve">• These multipliers describe MUSCULOSKELETAL load only. Cycling's cardiovascular value at matched HR is roughly 0.7–1.0× of running — see the cycling vs running comparison row in the calculator.</t>
  </si>
  <si>
    <t xml:space="preserve">• Cycling produces minimal eccentric load — DOMS / quad damage is essentially zero. This is cycling's biggest training advantage and biggest specificity gap for trail racing.</t>
  </si>
  <si>
    <t xml:space="preserve">Cycling → Run-Equivalent Load Calculator</t>
  </si>
  <si>
    <t xml:space="preserve">Enter cycling sessions; the sheet computes equivalent flat-running minutes and the cardiovascular vs. musculoskeletal split.</t>
  </si>
  <si>
    <t xml:space="preserve">Session</t>
  </si>
  <si>
    <t xml:space="preserve">Duration (min)</t>
  </si>
  <si>
    <t xml:space="preserve">Run-equivalent MSK (min)</t>
  </si>
  <si>
    <t xml:space="preserve">Aerobic-equivalent run (min)</t>
  </si>
  <si>
    <t xml:space="preserve">Recovery spin (Mon)</t>
  </si>
  <si>
    <t xml:space="preserve">Z2 endurance ride (Wed)</t>
  </si>
  <si>
    <t xml:space="preserve">Threshold intervals</t>
  </si>
  <si>
    <t xml:space="preserve">Long Z2 (Sat)</t>
  </si>
  <si>
    <t xml:space="preserve">WEEK TOTAL</t>
  </si>
  <si>
    <t xml:space="preserve">How to read this:</t>
  </si>
  <si>
    <t xml:space="preserve">• 'Run-equivalent MSK (min)': how many minutes of flat running this ride costs your tissues. Use this for weekly load budgeting alongside actual runs.</t>
  </si>
  <si>
    <t xml:space="preserve">• 'Aerobic-equivalent run (min)': how many minutes of running this ride is worth aerobically. This is usually close to actual ride duration.</t>
  </si>
  <si>
    <t xml:space="preserve">• Notice the gap: a 90-min Z2 ride = 54 min of running's tissue load BUT 81 min of running's aerobic benefit. That gap is cycling's training value.</t>
  </si>
  <si>
    <t xml:space="preserve">• Yellow cells = inputs. Blue text = your inputs. Black text = formulas.</t>
  </si>
  <si>
    <t xml:space="preserve">• For a Broken Arrow runner: cycling can substitute for ~30% of weekly easy running volume without losing aerobic fitness, but cannot substitute for downhill/eccentric work.</t>
  </si>
  <si>
    <t xml:space="preserve">Equivalent Flat-Load Calculator</t>
  </si>
  <si>
    <t xml:space="preserve">Enter each segment of your route at its average grade. The sheet returns equivalent flat-running distance and energy cost.</t>
  </si>
  <si>
    <t xml:space="preserve">Segment label</t>
  </si>
  <si>
    <t xml:space="preserve">Distance (km)</t>
  </si>
  <si>
    <t xml:space="preserve">Average grade (%)</t>
  </si>
  <si>
    <t xml:space="preserve">Energy multiplier (×)</t>
  </si>
  <si>
    <t xml:space="preserve">Equivalent flat distance (km)</t>
  </si>
  <si>
    <t xml:space="preserve">Valley start to KT-22 base</t>
  </si>
  <si>
    <t xml:space="preserve">Rolling warm-up</t>
  </si>
  <si>
    <t xml:space="preserve">KT-22 climb</t>
  </si>
  <si>
    <t xml:space="preserve">Sustained steep climb</t>
  </si>
  <si>
    <t xml:space="preserve">KT-22 descent</t>
  </si>
  <si>
    <t xml:space="preserve">Technical descent</t>
  </si>
  <si>
    <t xml:space="preserve">Stairway approach</t>
  </si>
  <si>
    <t xml:space="preserve">Steady climb</t>
  </si>
  <si>
    <t xml:space="preserve">Stairway to Heaven ladder</t>
  </si>
  <si>
    <t xml:space="preserve">Hands-on, near vertical</t>
  </si>
  <si>
    <t xml:space="preserve">Headwall traverse</t>
  </si>
  <si>
    <t xml:space="preserve">Exposed ridge</t>
  </si>
  <si>
    <t xml:space="preserve">Granite Chief descent</t>
  </si>
  <si>
    <t xml:space="preserve">Long, fast descent</t>
  </si>
  <si>
    <t xml:space="preserve">Mid-course rolling</t>
  </si>
  <si>
    <t xml:space="preserve">Mixed terrain</t>
  </si>
  <si>
    <t xml:space="preserve">Final climb</t>
  </si>
  <si>
    <t xml:space="preserve">Tired-legs climb</t>
  </si>
  <si>
    <t xml:space="preserve">Final descent to village</t>
  </si>
  <si>
    <t xml:space="preserve">Quad-blasting finish</t>
  </si>
  <si>
    <t xml:space="preserve">TOTAL</t>
  </si>
  <si>
    <t xml:space="preserve">↑ overall course load multiplier</t>
  </si>
  <si>
    <t xml:space="preserve">Yellow cells = inputs you change. Blue text = your inputs. Black text = formulas.</t>
  </si>
  <si>
    <t xml:space="preserve">Course Examples — Average Grades vs. Segment Grades</t>
  </si>
  <si>
    <t xml:space="preserve">Note how 'whole-course average grade' undersells the load on real mountain courses, where climbs are concentrated rather than spread evenly.</t>
  </si>
  <si>
    <t xml:space="preserve">Course / Segment</t>
  </si>
  <si>
    <t xml:space="preserve">Distance</t>
  </si>
  <si>
    <t xml:space="preserve">Vertical gain (m)</t>
  </si>
  <si>
    <t xml:space="preserve">Average grade</t>
  </si>
  <si>
    <t xml:space="preserve">Steepest section</t>
  </si>
  <si>
    <t xml:space="preserve">Broken Arrow Skyrace 23K (full)</t>
  </si>
  <si>
    <t xml:space="preserve">21.7 km</t>
  </si>
  <si>
    <t xml:space="preserve">≈6.5%</t>
  </si>
  <si>
    <t xml:space="preserve">≈40%+</t>
  </si>
  <si>
    <t xml:space="preserve">Average grade is misleading; climbs are concentrated in 3 sustained ascents.</t>
  </si>
  <si>
    <t xml:space="preserve">Broken Arrow Ascent (formerly VK)</t>
  </si>
  <si>
    <t xml:space="preserve">≈4.8 km</t>
  </si>
  <si>
    <t xml:space="preserve">≈19%</t>
  </si>
  <si>
    <t xml:space="preserve">≈45%+</t>
  </si>
  <si>
    <t xml:space="preserve">3,000 ft gain in 3 miles; includes hand lines and the Stairway to Heaven ladder.</t>
  </si>
  <si>
    <t xml:space="preserve">Broken Arrow 46K</t>
  </si>
  <si>
    <t xml:space="preserve">≈46 km</t>
  </si>
  <si>
    <t xml:space="preserve">≈6.6%</t>
  </si>
  <si>
    <t xml:space="preserve">Two laps of the 23K loop. Total course load ~2× a flat marathon.</t>
  </si>
  <si>
    <t xml:space="preserve">Headwall Ridge approach (Ascent)</t>
  </si>
  <si>
    <t xml:space="preserve">≈1.6 km</t>
  </si>
  <si>
    <t xml:space="preserve">≈37%</t>
  </si>
  <si>
    <t xml:space="preserve">≈50%</t>
  </si>
  <si>
    <t xml:space="preserve">Hands-on-knees power-hike; running is impossible for nearly all athletes.</t>
  </si>
  <si>
    <t xml:space="preserve">Boston Marathon (Heartbreak Hill)</t>
  </si>
  <si>
    <t xml:space="preserve">≈0.6 km</t>
  </si>
  <si>
    <t xml:space="preserve">≈4.5%</t>
  </si>
  <si>
    <t xml:space="preserve">Famous for its placement at mile 20, not its grade. Modest by trail standards.</t>
  </si>
  <si>
    <t xml:space="preserve">Western States 100 (Devil's Thumb)</t>
  </si>
  <si>
    <t xml:space="preserve">≈3.2 km</t>
  </si>
  <si>
    <t xml:space="preserve">≈17%</t>
  </si>
  <si>
    <t xml:space="preserve">≈25%</t>
  </si>
  <si>
    <t xml:space="preserve">Iconic climb at mile 47.8. Most runners hike the entire ascent.</t>
  </si>
  <si>
    <t xml:space="preserve">Sources &amp; Citations</t>
  </si>
  <si>
    <t xml:space="preserve">Reference</t>
  </si>
  <si>
    <t xml:space="preserve">Citation</t>
  </si>
  <si>
    <t xml:space="preserve">URL</t>
  </si>
  <si>
    <t xml:space="preserve">Minetti et al. (2002)</t>
  </si>
  <si>
    <t xml:space="preserve">Minetti AE, Moia C, Roi GS, Susta D, Ferretti G. Energy cost of walking and running at extreme uphill and downhill slopes. J Appl Physiol 93: 1039–1046, 2002.</t>
  </si>
  <si>
    <t xml:space="preserve">https://pubmed.ncbi.nlm.nih.gov/12183501/</t>
  </si>
  <si>
    <t xml:space="preserve">Minetti et al. (1994)</t>
  </si>
  <si>
    <t xml:space="preserve">Minetti AE, Ardigò LP, Saibene F. Mechanical determinants of the minimum energy cost of gradient running in humans. J Exp Biol 195: 211–225, 1994.</t>
  </si>
  <si>
    <t xml:space="preserve">https://journals.biologists.com/jeb/article/195/1/211/34200</t>
  </si>
  <si>
    <t xml:space="preserve">Vernillo et al. (2021)</t>
  </si>
  <si>
    <t xml:space="preserve">Vernillo G, Giandolini M, Edwards WB, et al. Downhill Running: What Are The Effects and How Can We Adapt? A Narrative Review. Sports Med 50, 2083–2110, 2020.</t>
  </si>
  <si>
    <t xml:space="preserve">https://pmc.ncbi.nlm.nih.gov/articles/PMC7674385/</t>
  </si>
  <si>
    <t xml:space="preserve">Strava Engineering (2017)</t>
  </si>
  <si>
    <t xml:space="preserve">Lloyd S. Improving Grade Adjusted Pace. Strava Engineering Blog.</t>
  </si>
  <si>
    <t xml:space="preserve">https://medium.com/strava-engineering/improving-grade-adjusted-pace-b9a2a332a5dc</t>
  </si>
  <si>
    <t xml:space="preserve">Hoogkamer et al. (2014)</t>
  </si>
  <si>
    <t xml:space="preserve">Hoogkamer W, Taboga P, Kram R. Applying the cost of generating force hypothesis to uphill running. PeerJ 2:e482, 2014.</t>
  </si>
  <si>
    <t xml:space="preserve">https://pmc.ncbi.nlm.nih.gov/articles/PMC4106190/</t>
  </si>
  <si>
    <t xml:space="preserve">Margaria et al. (1963)</t>
  </si>
  <si>
    <t xml:space="preserve">Margaria R, Cerretelli P, Aghemo P, Sassi G. Energy cost of running. J Appl Physiol 18: 367–370, 1963.</t>
  </si>
  <si>
    <t xml:space="preserve">Broken Arrow Skyrace (2026)</t>
  </si>
  <si>
    <t xml:space="preserve">Official course pages for Ascent, 11K, 23K, 46K distances.</t>
  </si>
  <si>
    <t xml:space="preserve">https://www.brokenarrowskyrace.com/</t>
  </si>
  <si>
    <t xml:space="preserve">D'Lima et al. (2013)</t>
  </si>
  <si>
    <t xml:space="preserve">D'Lima DD, Steklov N, Patil S, Colwell CW Jr. Loading of the knee joint during ergometer cycling: telemetric in vivo data. J Orthop Sports Phys Ther 43(1): 32-40, 2013.</t>
  </si>
  <si>
    <t xml:space="preserve">https://pubmed.ncbi.nlm.nih.gov/23346556/</t>
  </si>
  <si>
    <t xml:space="preserve">Ericson &amp; Nisell (1986)</t>
  </si>
  <si>
    <t xml:space="preserve">Ericson MO, Nisell R. Tibiofemoral joint forces during ergometer cycling. Am J Sports Med 14(4): 285-290, 1986.</t>
  </si>
  <si>
    <t xml:space="preserve">https://pubmed.ncbi.nlm.nih.gov/3728780/</t>
  </si>
  <si>
    <t xml:space="preserve">Ericson &amp; Nisell (1987)</t>
  </si>
  <si>
    <t xml:space="preserve">Ericson MO, Nisell R. Patellofemoral joint forces during ergometric cycling. Phys Ther 67(9): 1365-1369, 1987.</t>
  </si>
  <si>
    <t xml:space="preserve">https://pubmed.ncbi.nlm.nih.gov/3628491/</t>
  </si>
  <si>
    <t xml:space="preserve">Nilsson &amp; Thorstensson (1989)</t>
  </si>
  <si>
    <t xml:space="preserve">Nilsson J, Thorstensson A. Ground reaction forces at different speeds of human walking and running. Acta Physiol Scand 136: 217-227, 1989.</t>
  </si>
  <si>
    <t xml:space="preserve">https://onlinelibrary.wiley.com/doi/abs/10.1111/j.1748-1716.1989.tb08655.x</t>
  </si>
  <si>
    <t xml:space="preserve">Wilber et al. (1995)</t>
  </si>
  <si>
    <t xml:space="preserve">Wilber CA, Holland GJ, Madison RE, Loy SF. An epidemiological analysis of overuse injuries among recreational cyclists. Int J Sports Med 16(3): 201-206, 1995.</t>
  </si>
</sst>
</file>

<file path=xl/styles.xml><?xml version="1.0" encoding="utf-8"?>
<styleSheet xmlns="http://schemas.openxmlformats.org/spreadsheetml/2006/main">
  <numFmts count="11">
    <numFmt numFmtId="164" formatCode="General"/>
    <numFmt numFmtId="165" formatCode="0%"/>
    <numFmt numFmtId="166" formatCode="0.000"/>
    <numFmt numFmtId="167" formatCode="0.00"/>
    <numFmt numFmtId="168" formatCode="0.00\×"/>
    <numFmt numFmtId="169" formatCode="0.00&quot;× BW&quot;"/>
    <numFmt numFmtId="170" formatCode="0.00\×"/>
    <numFmt numFmtId="171" formatCode="0"/>
    <numFmt numFmtId="172" formatCode="0&quot; min&quot;"/>
    <numFmt numFmtId="173" formatCode="0.0%"/>
    <numFmt numFmtId="174"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color rgb="FF595959"/>
      <name val="Arial"/>
      <family val="0"/>
      <charset val="1"/>
    </font>
    <font>
      <b val="true"/>
      <sz val="12"/>
      <color rgb="FF1F4E78"/>
      <name val="Arial"/>
      <family val="0"/>
      <charset val="1"/>
    </font>
    <font>
      <sz val="11"/>
      <name val="Arial"/>
      <family val="0"/>
      <charset val="1"/>
    </font>
    <font>
      <b val="true"/>
      <sz val="11"/>
      <name val="Arial"/>
      <family val="0"/>
      <charset val="1"/>
    </font>
    <font>
      <sz val="11"/>
      <color rgb="FF0000FF"/>
      <name val="Arial"/>
      <family val="0"/>
      <charset val="1"/>
    </font>
    <font>
      <b val="true"/>
      <sz val="11"/>
      <color rgb="FFFFFFFF"/>
      <name val="Arial"/>
      <family val="0"/>
      <charset val="1"/>
    </font>
    <font>
      <sz val="10"/>
      <color rgb="FF595959"/>
      <name val="Arial"/>
      <family val="0"/>
      <charset val="1"/>
    </font>
    <font>
      <u val="single"/>
      <sz val="11"/>
      <color rgb="FF0563C1"/>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E2EFDA"/>
        <bgColor rgb="FFD9E1F2"/>
      </patternFill>
    </fill>
    <fill>
      <patternFill patternType="solid">
        <fgColor rgb="FFFFFF00"/>
        <bgColor rgb="FFFFFF00"/>
      </patternFill>
    </fill>
    <fill>
      <patternFill patternType="solid">
        <fgColor rgb="FFD9E1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68"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8" fillId="3" borderId="1" xfId="0" applyFont="true" applyBorder="true" applyAlignment="true" applyProtection="false">
      <alignment horizontal="center" vertical="center" textRotation="0" wrapText="true" indent="0" shrinkToFit="false"/>
      <protection locked="true" hidden="false"/>
    </xf>
    <xf numFmtId="166" fontId="8"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7" fontId="8" fillId="3" borderId="1" xfId="0" applyFont="true" applyBorder="true" applyAlignment="true" applyProtection="false">
      <alignment horizontal="center" vertical="center" textRotation="0" wrapText="true" indent="0" shrinkToFit="false"/>
      <protection locked="true" hidden="false"/>
    </xf>
    <xf numFmtId="168" fontId="8"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left"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9" fontId="8" fillId="3" borderId="1" xfId="0" applyFont="true" applyBorder="true" applyAlignment="true" applyProtection="false">
      <alignment horizontal="center" vertical="center" textRotation="0" wrapText="true" indent="0" shrinkToFit="false"/>
      <protection locked="true" hidden="false"/>
    </xf>
    <xf numFmtId="170" fontId="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9" fontId="7" fillId="0" borderId="1" xfId="0" applyFont="true" applyBorder="true" applyAlignment="true" applyProtection="false">
      <alignment horizontal="center" vertical="center" textRotation="0" wrapText="true" indent="0" shrinkToFit="false"/>
      <protection locked="true" hidden="false"/>
    </xf>
    <xf numFmtId="170" fontId="8"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71" fontId="9" fillId="4" borderId="1" xfId="0" applyFont="true" applyBorder="true" applyAlignment="true" applyProtection="false">
      <alignment horizontal="center" vertical="center" textRotation="0" wrapText="true" indent="0" shrinkToFit="false"/>
      <protection locked="true" hidden="false"/>
    </xf>
    <xf numFmtId="167" fontId="9" fillId="4" borderId="1" xfId="0" applyFont="true" applyBorder="true" applyAlignment="true" applyProtection="false">
      <alignment horizontal="center" vertical="center" textRotation="0" wrapText="true" indent="0" shrinkToFit="false"/>
      <protection locked="true" hidden="false"/>
    </xf>
    <xf numFmtId="170" fontId="7" fillId="0" borderId="1" xfId="0" applyFont="true" applyBorder="true" applyAlignment="true" applyProtection="false">
      <alignment horizontal="center" vertical="center" textRotation="0" wrapText="true" indent="0" shrinkToFit="false"/>
      <protection locked="true" hidden="false"/>
    </xf>
    <xf numFmtId="172" fontId="8" fillId="0" borderId="1" xfId="0" applyFont="true" applyBorder="true" applyAlignment="true" applyProtection="false">
      <alignment horizontal="center" vertical="center" textRotation="0" wrapText="true" indent="0" shrinkToFit="false"/>
      <protection locked="true" hidden="false"/>
    </xf>
    <xf numFmtId="172" fontId="7"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1" fontId="0" fillId="4" borderId="1" xfId="0" applyFont="false" applyBorder="true" applyAlignment="false" applyProtection="false">
      <alignment horizontal="general" vertical="bottom" textRotation="0" wrapText="false" indent="0" shrinkToFit="false"/>
      <protection locked="true" hidden="false"/>
    </xf>
    <xf numFmtId="167" fontId="0" fillId="4" borderId="1" xfId="0" applyFont="fals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true" applyProtection="false">
      <alignment horizontal="center" vertical="center" textRotation="0" wrapText="true" indent="0" shrinkToFit="false"/>
      <protection locked="true" hidden="false"/>
    </xf>
    <xf numFmtId="172" fontId="0" fillId="0" borderId="1" xfId="0" applyFont="false" applyBorder="true" applyAlignment="true" applyProtection="false">
      <alignment horizontal="center" vertical="center" textRotation="0" wrapText="true" indent="0" shrinkToFit="false"/>
      <protection locked="true" hidden="false"/>
    </xf>
    <xf numFmtId="172" fontId="8"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70" fontId="8" fillId="5"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73"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7" fontId="0" fillId="4" borderId="1" xfId="0" applyFont="false" applyBorder="true" applyAlignment="true" applyProtection="false">
      <alignment horizontal="general" vertical="bottom" textRotation="0" wrapText="false" indent="0" shrinkToFit="false"/>
      <protection locked="true" hidden="false"/>
    </xf>
    <xf numFmtId="173" fontId="0" fillId="4" borderId="1" xfId="0" applyFont="false" applyBorder="true" applyAlignment="tru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center" textRotation="0" wrapText="true" indent="0" shrinkToFit="false"/>
      <protection locked="true" hidden="false"/>
    </xf>
    <xf numFmtId="167" fontId="0" fillId="0" borderId="1" xfId="0" applyFont="false" applyBorder="true" applyAlignment="true" applyProtection="false">
      <alignment horizontal="center" vertical="center" textRotation="0" wrapText="true" indent="0" shrinkToFit="false"/>
      <protection locked="true" hidden="false"/>
    </xf>
    <xf numFmtId="167" fontId="8" fillId="5" borderId="1" xfId="0" applyFont="true" applyBorder="true" applyAlignment="true" applyProtection="false">
      <alignment horizontal="center" vertical="center" textRotation="0" wrapText="true" indent="0" shrinkToFit="false"/>
      <protection locked="true" hidden="false"/>
    </xf>
    <xf numFmtId="168" fontId="8" fillId="5"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7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hyperlink" Target="https://pubmed.ncbi.nlm.nih.gov/12183501/" TargetMode="External"/><Relationship Id="rId2" Type="http://schemas.openxmlformats.org/officeDocument/2006/relationships/hyperlink" Target="https://journals.biologists.com/jeb/article/195/1/211/34200" TargetMode="External"/><Relationship Id="rId3" Type="http://schemas.openxmlformats.org/officeDocument/2006/relationships/hyperlink" Target="https://pmc.ncbi.nlm.nih.gov/articles/PMC7674385/" TargetMode="External"/><Relationship Id="rId4" Type="http://schemas.openxmlformats.org/officeDocument/2006/relationships/hyperlink" Target="https://medium.com/strava-engineering/improving-grade-adjusted-pace-b9a2a332a5dc" TargetMode="External"/><Relationship Id="rId5" Type="http://schemas.openxmlformats.org/officeDocument/2006/relationships/hyperlink" Target="https://pmc.ncbi.nlm.nih.gov/articles/PMC4106190/" TargetMode="External"/><Relationship Id="rId6" Type="http://schemas.openxmlformats.org/officeDocument/2006/relationships/hyperlink" Target="https://www.brokenarrowskyrace.com/" TargetMode="External"/><Relationship Id="rId7" Type="http://schemas.openxmlformats.org/officeDocument/2006/relationships/hyperlink" Target="https://pubmed.ncbi.nlm.nih.gov/23346556/" TargetMode="External"/><Relationship Id="rId8" Type="http://schemas.openxmlformats.org/officeDocument/2006/relationships/hyperlink" Target="https://pubmed.ncbi.nlm.nih.gov/3728780/" TargetMode="External"/><Relationship Id="rId9" Type="http://schemas.openxmlformats.org/officeDocument/2006/relationships/hyperlink" Target="https://pubmed.ncbi.nlm.nih.gov/3628491/" TargetMode="External"/><Relationship Id="rId10" Type="http://schemas.openxmlformats.org/officeDocument/2006/relationships/hyperlink" Target="https://onlinelibrary.wiley.com/doi/abs/10.1111/j.1748-1716.1989.tb08655.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9.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row>
    <row r="4" customFormat="false" ht="15" hidden="false" customHeight="true" outlineLevel="0" collapsed="false">
      <c r="A4" s="5" t="s">
        <v>3</v>
      </c>
    </row>
    <row r="5" customFormat="false" ht="45" hidden="false" customHeight="true" outlineLevel="0" collapsed="false">
      <c r="A5" s="5" t="s">
        <v>4</v>
      </c>
    </row>
    <row r="6" customFormat="false" ht="15" hidden="false" customHeight="true" outlineLevel="0" collapsed="false">
      <c r="A6" s="5" t="s">
        <v>5</v>
      </c>
    </row>
    <row r="7" customFormat="false" ht="15" hidden="false" customHeight="true" outlineLevel="0" collapsed="false">
      <c r="A7" s="5" t="s">
        <v>6</v>
      </c>
    </row>
    <row r="8" customFormat="false" ht="75" hidden="false" customHeight="true" outlineLevel="0" collapsed="false">
      <c r="A8" s="5"/>
    </row>
    <row r="9" customFormat="false" ht="15" hidden="false" customHeight="true" outlineLevel="0" collapsed="false">
      <c r="A9" s="5"/>
    </row>
    <row r="10" customFormat="false" ht="45" hidden="false" customHeight="true" outlineLevel="0" collapsed="false">
      <c r="A10" s="6" t="s">
        <v>7</v>
      </c>
    </row>
    <row r="11" customFormat="false" ht="15" hidden="false" customHeight="true" outlineLevel="0" collapsed="false">
      <c r="A11" s="5" t="s">
        <v>8</v>
      </c>
    </row>
    <row r="12" customFormat="false" ht="15" hidden="false" customHeight="true" outlineLevel="0" collapsed="false">
      <c r="A12" s="5"/>
    </row>
    <row r="13" customFormat="false" ht="15" hidden="false" customHeight="true" outlineLevel="0" collapsed="false">
      <c r="A13" s="6" t="s">
        <v>9</v>
      </c>
    </row>
    <row r="14" customFormat="false" ht="15" hidden="false" customHeight="true" outlineLevel="0" collapsed="false">
      <c r="A14" s="5" t="s">
        <v>10</v>
      </c>
    </row>
    <row r="15" customFormat="false" ht="15" hidden="false" customHeight="true" outlineLevel="0" collapsed="false">
      <c r="A15" s="5"/>
    </row>
    <row r="16" customFormat="false" ht="15" hidden="false" customHeight="true" outlineLevel="0" collapsed="false">
      <c r="A16" s="5" t="s">
        <v>11</v>
      </c>
    </row>
    <row r="17" customFormat="false" ht="15" hidden="false" customHeight="true" outlineLevel="0" collapsed="false">
      <c r="A17" s="5"/>
    </row>
    <row r="18" customFormat="false" ht="15" hidden="false" customHeight="true" outlineLevel="0" collapsed="false">
      <c r="A18" s="6" t="s">
        <v>12</v>
      </c>
    </row>
    <row r="19" customFormat="false" ht="15" hidden="false" customHeight="true" outlineLevel="0" collapsed="false">
      <c r="A19" s="5" t="s">
        <v>13</v>
      </c>
    </row>
    <row r="20" customFormat="false" ht="30" hidden="false" customHeight="true" outlineLevel="0" collapsed="false">
      <c r="A20" s="5" t="s">
        <v>14</v>
      </c>
    </row>
    <row r="21" customFormat="false" ht="45" hidden="false" customHeight="true" outlineLevel="0" collapsed="false">
      <c r="A21" s="5" t="s">
        <v>15</v>
      </c>
    </row>
    <row r="22" customFormat="false" ht="30" hidden="false" customHeight="true" outlineLevel="0" collapsed="false">
      <c r="A22" s="5" t="s">
        <v>16</v>
      </c>
    </row>
    <row r="23" customFormat="false" ht="15" hidden="false" customHeight="true" outlineLevel="0" collapsed="false">
      <c r="A23" s="5"/>
    </row>
    <row r="24" customFormat="false" ht="15" hidden="false" customHeight="true" outlineLevel="0" collapsed="false">
      <c r="A24" s="6" t="s">
        <v>17</v>
      </c>
    </row>
    <row r="25" customFormat="false" ht="15" hidden="false" customHeight="true" outlineLevel="0" collapsed="false">
      <c r="A25" s="5" t="s">
        <v>18</v>
      </c>
    </row>
    <row r="26" customFormat="false" ht="15" hidden="false" customHeight="true" outlineLevel="0" collapsed="false">
      <c r="A26" s="5" t="s">
        <v>19</v>
      </c>
    </row>
    <row r="27" customFormat="false" ht="15" hidden="false" customHeight="true" outlineLevel="0" collapsed="false">
      <c r="A27" s="5" t="s">
        <v>20</v>
      </c>
    </row>
    <row r="28" customFormat="false" ht="15" hidden="false" customHeight="true" outlineLevel="0" collapsed="false">
      <c r="A28" s="5" t="s">
        <v>21</v>
      </c>
    </row>
    <row r="29" customFormat="false" ht="15" hidden="false" customHeight="true" outlineLevel="0" collapsed="false">
      <c r="A29" s="5"/>
    </row>
    <row r="30" customFormat="false" ht="30" hidden="false" customHeight="true" outlineLevel="0" collapsed="false">
      <c r="A30" s="6" t="s">
        <v>22</v>
      </c>
    </row>
    <row r="31" customFormat="false" ht="30" hidden="false" customHeight="true" outlineLevel="0" collapsed="false">
      <c r="A31" s="5" t="s">
        <v>23</v>
      </c>
    </row>
    <row r="32" customFormat="false" ht="30" hidden="false" customHeight="true" outlineLevel="0" collapsed="false">
      <c r="A32" s="5" t="s">
        <v>24</v>
      </c>
    </row>
    <row r="33" customFormat="false" ht="30" hidden="false" customHeight="true" outlineLevel="0" collapsed="false">
      <c r="A33" s="5" t="s">
        <v>25</v>
      </c>
    </row>
    <row r="34" customFormat="false" ht="15" hidden="false" customHeight="false" outlineLevel="0" collapsed="false">
      <c r="A34" s="5"/>
    </row>
    <row r="35" customFormat="false" ht="15" hidden="false" customHeight="false" outlineLevel="0" collapsed="false">
      <c r="A35" s="6" t="s">
        <v>26</v>
      </c>
    </row>
    <row r="36" customFormat="false" ht="26.85" hidden="false" customHeight="false" outlineLevel="0" collapsed="false">
      <c r="A36" s="5" t="s">
        <v>27</v>
      </c>
    </row>
    <row r="37" customFormat="false" ht="26.85" hidden="false" customHeight="false" outlineLevel="0" collapsed="false">
      <c r="A37" s="5" t="s">
        <v>28</v>
      </c>
    </row>
    <row r="38" customFormat="false" ht="26.85" hidden="false" customHeight="false" outlineLevel="0" collapsed="false">
      <c r="A38" s="5" t="s">
        <v>29</v>
      </c>
    </row>
    <row r="39" customFormat="false" ht="26.85" hidden="false" customHeight="false" outlineLevel="0" collapsed="false">
      <c r="A39" s="5"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36"/>
    <col collapsed="false" customWidth="true" hidden="false" outlineLevel="0" max="5" min="4" style="1" width="22"/>
    <col collapsed="false" customWidth="true" hidden="false" outlineLevel="0" max="6" min="6" style="1" width="30"/>
    <col collapsed="false" customWidth="true" hidden="false" outlineLevel="0" max="7" min="7" style="1" width="22"/>
    <col collapsed="false" customWidth="true" hidden="false" outlineLevel="0" max="8" min="8" style="1" width="28"/>
    <col collapsed="false" customWidth="true" hidden="false" outlineLevel="0" max="9" min="9" style="1" width="3"/>
    <col collapsed="false" customWidth="true" hidden="false" outlineLevel="0" max="10" min="10" style="1" width="22"/>
    <col collapsed="false" customWidth="true" hidden="false" outlineLevel="0" max="11" min="11" style="1" width="12"/>
  </cols>
  <sheetData>
    <row r="1" customFormat="false" ht="19.5" hidden="false" customHeight="true" outlineLevel="0" collapsed="false">
      <c r="A1" s="7" t="s">
        <v>31</v>
      </c>
      <c r="B1" s="7"/>
      <c r="C1" s="7"/>
      <c r="D1" s="7"/>
      <c r="E1" s="7"/>
      <c r="F1" s="7"/>
      <c r="G1" s="7"/>
      <c r="H1" s="7"/>
    </row>
    <row r="2" customFormat="false" ht="15" hidden="false" customHeight="true" outlineLevel="0" collapsed="false">
      <c r="A2" s="8" t="s">
        <v>32</v>
      </c>
      <c r="B2" s="8"/>
      <c r="C2" s="8"/>
      <c r="D2" s="8"/>
      <c r="E2" s="8"/>
      <c r="F2" s="8"/>
      <c r="G2" s="8"/>
      <c r="H2" s="8"/>
      <c r="J2" s="9" t="s">
        <v>33</v>
      </c>
    </row>
    <row r="3" customFormat="false" ht="15" hidden="false" customHeight="true" outlineLevel="0" collapsed="false">
      <c r="J3" s="1" t="s">
        <v>34</v>
      </c>
      <c r="K3" s="10" t="n">
        <v>155.4</v>
      </c>
    </row>
    <row r="4" customFormat="false" ht="45" hidden="false" customHeight="true" outlineLevel="0" collapsed="false">
      <c r="A4" s="11" t="s">
        <v>35</v>
      </c>
      <c r="B4" s="11" t="s">
        <v>36</v>
      </c>
      <c r="C4" s="11" t="s">
        <v>37</v>
      </c>
      <c r="D4" s="11" t="s">
        <v>38</v>
      </c>
      <c r="E4" s="11" t="s">
        <v>39</v>
      </c>
      <c r="F4" s="11" t="s">
        <v>40</v>
      </c>
      <c r="G4" s="11" t="s">
        <v>41</v>
      </c>
      <c r="H4" s="11" t="s">
        <v>42</v>
      </c>
      <c r="J4" s="1" t="s">
        <v>43</v>
      </c>
      <c r="K4" s="10" t="n">
        <v>-30.4</v>
      </c>
    </row>
    <row r="5" customFormat="false" ht="15" hidden="false" customHeight="true" outlineLevel="0" collapsed="false">
      <c r="A5" s="12" t="n">
        <v>-0.45</v>
      </c>
      <c r="B5" s="13" t="n">
        <v>-0.45</v>
      </c>
      <c r="C5" s="14" t="s">
        <v>44</v>
      </c>
      <c r="D5" s="15" t="n">
        <f aca="false">$K$3*B5^5+$K$4*B5^4+$K$5*B5^3+$K$6*B5^2+$K$7*B5+$K$8</f>
        <v>4.0323054375</v>
      </c>
      <c r="E5" s="16" t="n">
        <f aca="false">D5/$K$8</f>
        <v>1.12008484375</v>
      </c>
      <c r="F5" s="16" t="n">
        <f aca="false">($K$11*B5^5+$K$12*B5^4+$K$13*B5^3+$K$14*B5^2+$K$15*B5+$K$16)/$K$8</f>
        <v>1.00140811631944</v>
      </c>
      <c r="G5" s="17" t="n">
        <v>5</v>
      </c>
      <c r="H5" s="14" t="s">
        <v>45</v>
      </c>
      <c r="J5" s="1" t="s">
        <v>46</v>
      </c>
      <c r="K5" s="10" t="n">
        <v>-43.3</v>
      </c>
    </row>
    <row r="6" customFormat="false" ht="15" hidden="false" customHeight="true" outlineLevel="0" collapsed="false">
      <c r="A6" s="12" t="n">
        <v>-0.4</v>
      </c>
      <c r="B6" s="13" t="n">
        <v>-0.4</v>
      </c>
      <c r="C6" s="14" t="s">
        <v>47</v>
      </c>
      <c r="D6" s="15" t="n">
        <f aca="false">$K$3*B6^5+$K$4*B6^4+$K$5*B6^3+$K$6*B6^2+$K$7*B6+$K$8</f>
        <v>3.609664</v>
      </c>
      <c r="E6" s="16" t="n">
        <f aca="false">D6/$K$8</f>
        <v>1.00268444444444</v>
      </c>
      <c r="F6" s="16" t="n">
        <f aca="false">($K$11*B6^5+$K$12*B6^4+$K$13*B6^3+$K$14*B6^2+$K$15*B6+$K$16)/$K$8</f>
        <v>0.973377777777778</v>
      </c>
      <c r="G6" s="17" t="n">
        <v>5</v>
      </c>
      <c r="H6" s="14" t="s">
        <v>45</v>
      </c>
      <c r="J6" s="1" t="s">
        <v>48</v>
      </c>
      <c r="K6" s="10" t="n">
        <v>46.3</v>
      </c>
    </row>
    <row r="7" customFormat="false" ht="15" hidden="false" customHeight="true" outlineLevel="0" collapsed="false">
      <c r="A7" s="12" t="n">
        <v>-0.35</v>
      </c>
      <c r="B7" s="13" t="n">
        <v>-0.35</v>
      </c>
      <c r="C7" s="14" t="s">
        <v>49</v>
      </c>
      <c r="D7" s="15" t="n">
        <f aca="false">$K$3*B7^5+$K$4*B7^4+$K$5*B7^3+$K$6*B7^2+$K$7*B7+$K$8</f>
        <v>3.0308575625</v>
      </c>
      <c r="E7" s="16" t="n">
        <f aca="false">D7/$K$8</f>
        <v>0.841904878472222</v>
      </c>
      <c r="F7" s="16" t="n">
        <f aca="false">($K$11*B7^5+$K$12*B7^4+$K$13*B7^3+$K$14*B7^2+$K$15*B7+$K$16)/$K$8</f>
        <v>0.815679036458333</v>
      </c>
      <c r="G7" s="17" t="n">
        <v>5</v>
      </c>
      <c r="H7" s="14" t="s">
        <v>50</v>
      </c>
      <c r="J7" s="1" t="s">
        <v>51</v>
      </c>
      <c r="K7" s="10" t="n">
        <v>19.5</v>
      </c>
    </row>
    <row r="8" customFormat="false" ht="15" hidden="false" customHeight="true" outlineLevel="0" collapsed="false">
      <c r="A8" s="12" t="n">
        <v>-0.3</v>
      </c>
      <c r="B8" s="13" t="n">
        <v>-0.3</v>
      </c>
      <c r="C8" s="14" t="s">
        <v>49</v>
      </c>
      <c r="D8" s="15" t="n">
        <f aca="false">$K$3*B8^5+$K$4*B8^4+$K$5*B8^3+$K$6*B8^2+$K$7*B8+$K$8</f>
        <v>2.462238</v>
      </c>
      <c r="E8" s="16" t="n">
        <f aca="false">D8/$K$8</f>
        <v>0.683955</v>
      </c>
      <c r="F8" s="16" t="n">
        <f aca="false">($K$11*B8^5+$K$12*B8^4+$K$13*B8^3+$K$14*B8^2+$K$15*B8+$K$16)/$K$8</f>
        <v>0.613198611111111</v>
      </c>
      <c r="G8" s="17" t="n">
        <v>5</v>
      </c>
      <c r="H8" s="14" t="s">
        <v>50</v>
      </c>
      <c r="J8" s="1" t="s">
        <v>52</v>
      </c>
      <c r="K8" s="10" t="n">
        <v>3.6</v>
      </c>
    </row>
    <row r="9" customFormat="false" ht="15" hidden="false" customHeight="true" outlineLevel="0" collapsed="false">
      <c r="A9" s="12" t="n">
        <v>-0.25</v>
      </c>
      <c r="B9" s="13" t="n">
        <v>-0.25</v>
      </c>
      <c r="C9" s="14" t="s">
        <v>53</v>
      </c>
      <c r="D9" s="15" t="n">
        <f aca="false">$K$3*B9^5+$K$4*B9^4+$K$5*B9^3+$K$6*B9^2+$K$7*B9+$K$8</f>
        <v>2.0248046875</v>
      </c>
      <c r="E9" s="16" t="n">
        <f aca="false">D9/$K$8</f>
        <v>0.562445746527778</v>
      </c>
      <c r="F9" s="16" t="n">
        <f aca="false">($K$11*B9^5+$K$12*B9^4+$K$13*B9^3+$K$14*B9^2+$K$15*B9+$K$16)/$K$8</f>
        <v>0.427924262152778</v>
      </c>
      <c r="G9" s="17" t="n">
        <v>4</v>
      </c>
      <c r="H9" s="14" t="s">
        <v>54</v>
      </c>
      <c r="K9" s="10"/>
    </row>
    <row r="10" customFormat="false" ht="15" hidden="false" customHeight="true" outlineLevel="0" collapsed="false">
      <c r="A10" s="12" t="n">
        <v>-0.2</v>
      </c>
      <c r="B10" s="13" t="n">
        <v>-0.2</v>
      </c>
      <c r="C10" s="14" t="s">
        <v>55</v>
      </c>
      <c r="D10" s="15" t="n">
        <f aca="false">$K$3*B10^5+$K$4*B10^4+$K$5*B10^3+$K$6*B10^2+$K$7*B10+$K$8</f>
        <v>1.800032</v>
      </c>
      <c r="E10" s="16" t="n">
        <f aca="false">D10/$K$8</f>
        <v>0.500008888888889</v>
      </c>
      <c r="F10" s="16" t="n">
        <f aca="false">($K$11*B10^5+$K$12*B10^4+$K$13*B10^3+$K$14*B10^2+$K$15*B10+$K$16)/$K$8</f>
        <v>0.301866666666667</v>
      </c>
      <c r="G10" s="17" t="n">
        <v>4</v>
      </c>
      <c r="H10" s="14" t="s">
        <v>56</v>
      </c>
      <c r="J10" s="9" t="s">
        <v>57</v>
      </c>
      <c r="K10" s="10"/>
    </row>
    <row r="11" customFormat="false" ht="15" hidden="false" customHeight="true" outlineLevel="0" collapsed="false">
      <c r="A11" s="12" t="n">
        <v>-0.15</v>
      </c>
      <c r="B11" s="13" t="n">
        <v>-0.15</v>
      </c>
      <c r="C11" s="14" t="s">
        <v>58</v>
      </c>
      <c r="D11" s="15" t="n">
        <f aca="false">$K$3*B11^5+$K$4*B11^4+$K$5*B11^3+$K$6*B11^2+$K$7*B11+$K$8</f>
        <v>1.8356968125</v>
      </c>
      <c r="E11" s="16" t="n">
        <f aca="false">D11/$K$8</f>
        <v>0.50991578125</v>
      </c>
      <c r="F11" s="16" t="n">
        <f aca="false">($K$11*B11^5+$K$12*B11^4+$K$13*B11^3+$K$14*B11^2+$K$15*B11+$K$16)/$K$8</f>
        <v>0.259981293402778</v>
      </c>
      <c r="G11" s="17" t="n">
        <v>3</v>
      </c>
      <c r="H11" s="14" t="s">
        <v>59</v>
      </c>
      <c r="J11" s="1" t="s">
        <v>60</v>
      </c>
      <c r="K11" s="10" t="n">
        <v>280.5</v>
      </c>
    </row>
    <row r="12" customFormat="false" ht="15" hidden="false" customHeight="true" outlineLevel="0" collapsed="false">
      <c r="A12" s="12" t="n">
        <v>-0.1</v>
      </c>
      <c r="B12" s="13" t="n">
        <v>-0.1</v>
      </c>
      <c r="C12" s="14" t="s">
        <v>61</v>
      </c>
      <c r="D12" s="15" t="n">
        <f aca="false">$K$3*B12^5+$K$4*B12^4+$K$5*B12^3+$K$6*B12^2+$K$7*B12+$K$8</f>
        <v>2.151706</v>
      </c>
      <c r="E12" s="16" t="n">
        <f aca="false">D12/$K$8</f>
        <v>0.597696111111111</v>
      </c>
      <c r="F12" s="16" t="n">
        <f aca="false">($K$11*B12^5+$K$12*B12^4+$K$13*B12^3+$K$14*B12^2+$K$15*B12+$K$16)/$K$8</f>
        <v>0.313090277777778</v>
      </c>
      <c r="G12" s="17" t="n">
        <v>2</v>
      </c>
      <c r="H12" s="14" t="s">
        <v>59</v>
      </c>
      <c r="J12" s="1" t="s">
        <v>62</v>
      </c>
      <c r="K12" s="10" t="n">
        <v>-58.7</v>
      </c>
    </row>
    <row r="13" customFormat="false" ht="15" hidden="false" customHeight="true" outlineLevel="0" collapsed="false">
      <c r="A13" s="12" t="n">
        <v>-0.05</v>
      </c>
      <c r="B13" s="13" t="n">
        <v>-0.05</v>
      </c>
      <c r="C13" s="14" t="s">
        <v>63</v>
      </c>
      <c r="D13" s="15" t="n">
        <f aca="false">$K$3*B13^5+$K$4*B13^4+$K$5*B13^3+$K$6*B13^2+$K$7*B13+$K$8</f>
        <v>2.7459239375</v>
      </c>
      <c r="E13" s="16" t="n">
        <f aca="false">D13/$K$8</f>
        <v>0.762756649305555</v>
      </c>
      <c r="F13" s="16" t="n">
        <f aca="false">($K$11*B13^5+$K$12*B13^4+$K$13*B13^3+$K$14*B13^2+$K$15*B13+$K$16)/$K$8</f>
        <v>0.460804296875</v>
      </c>
      <c r="G13" s="17" t="n">
        <v>2</v>
      </c>
      <c r="H13" s="14" t="s">
        <v>59</v>
      </c>
      <c r="J13" s="1" t="s">
        <v>64</v>
      </c>
      <c r="K13" s="10" t="n">
        <v>-76.8</v>
      </c>
    </row>
    <row r="14" customFormat="false" ht="15" hidden="false" customHeight="true" outlineLevel="0" collapsed="false">
      <c r="A14" s="18" t="n">
        <v>0</v>
      </c>
      <c r="B14" s="19" t="n">
        <v>0</v>
      </c>
      <c r="C14" s="20" t="s">
        <v>65</v>
      </c>
      <c r="D14" s="21" t="n">
        <f aca="false">$K$3*B14^5+$K$4*B14^4+$K$5*B14^3+$K$6*B14^2+$K$7*B14+$K$8</f>
        <v>3.6</v>
      </c>
      <c r="E14" s="22" t="n">
        <f aca="false">D14/$K$8</f>
        <v>1</v>
      </c>
      <c r="F14" s="22" t="n">
        <f aca="false">($K$11*B14^5+$K$12*B14^4+$K$13*B14^3+$K$14*B14^2+$K$15*B14+$K$16)/$K$8</f>
        <v>0.694444444444444</v>
      </c>
      <c r="G14" s="23" t="n">
        <v>1</v>
      </c>
      <c r="H14" s="20" t="s">
        <v>59</v>
      </c>
      <c r="J14" s="1" t="s">
        <v>66</v>
      </c>
      <c r="K14" s="10" t="n">
        <v>51.9</v>
      </c>
    </row>
    <row r="15" customFormat="false" ht="15" hidden="false" customHeight="true" outlineLevel="0" collapsed="false">
      <c r="A15" s="12" t="n">
        <v>0.05</v>
      </c>
      <c r="B15" s="13" t="n">
        <v>0.05</v>
      </c>
      <c r="C15" s="14" t="s">
        <v>67</v>
      </c>
      <c r="D15" s="15" t="n">
        <f aca="false">$K$3*B15^5+$K$4*B15^4+$K$5*B15^3+$K$6*B15^2+$K$7*B15+$K$8</f>
        <v>4.6851960625</v>
      </c>
      <c r="E15" s="16" t="n">
        <f aca="false">D15/$K$8</f>
        <v>1.30144335069444</v>
      </c>
      <c r="F15" s="16" t="n">
        <f aca="false">($K$11*B15^5+$K$12*B15^4+$K$13*B15^3+$K$14*B15^2+$K$15*B15+$K$16)/$K$8</f>
        <v>0.999964105902778</v>
      </c>
      <c r="G15" s="17" t="n">
        <v>1</v>
      </c>
      <c r="H15" s="14" t="s">
        <v>59</v>
      </c>
      <c r="J15" s="1" t="s">
        <v>68</v>
      </c>
      <c r="K15" s="10" t="n">
        <v>19.6</v>
      </c>
    </row>
    <row r="16" customFormat="false" ht="15" hidden="false" customHeight="true" outlineLevel="0" collapsed="false">
      <c r="A16" s="12" t="n">
        <v>0.1</v>
      </c>
      <c r="B16" s="13" t="n">
        <v>0.1</v>
      </c>
      <c r="C16" s="14" t="s">
        <v>69</v>
      </c>
      <c r="D16" s="15" t="n">
        <f aca="false">$K$3*B16^5+$K$4*B16^4+$K$5*B16^3+$K$6*B16^2+$K$7*B16+$K$8</f>
        <v>5.968214</v>
      </c>
      <c r="E16" s="16" t="n">
        <f aca="false">D16/$K$8</f>
        <v>1.65783722222222</v>
      </c>
      <c r="F16" s="16" t="n">
        <f aca="false">($K$11*B16^5+$K$12*B16^4+$K$13*B16^3+$K$14*B16^2+$K$15*B16+$K$16)/$K$8</f>
        <v>1.36087083333333</v>
      </c>
      <c r="G16" s="17" t="n">
        <v>2</v>
      </c>
      <c r="H16" s="14" t="s">
        <v>59</v>
      </c>
      <c r="J16" s="1" t="s">
        <v>70</v>
      </c>
      <c r="K16" s="10" t="n">
        <v>2.5</v>
      </c>
    </row>
    <row r="17" customFormat="false" ht="15" hidden="false" customHeight="true" outlineLevel="0" collapsed="false">
      <c r="A17" s="12" t="n">
        <v>0.15</v>
      </c>
      <c r="B17" s="13" t="n">
        <v>0.15</v>
      </c>
      <c r="C17" s="14" t="s">
        <v>71</v>
      </c>
      <c r="D17" s="15" t="n">
        <f aca="false">$K$3*B17^5+$K$4*B17^4+$K$5*B17^3+$K$6*B17^2+$K$7*B17+$K$8</f>
        <v>7.4170231875</v>
      </c>
      <c r="E17" s="16" t="n">
        <f aca="false">D17/$K$8</f>
        <v>2.06028421875</v>
      </c>
      <c r="F17" s="16" t="n">
        <f aca="false">($K$11*B17^5+$K$12*B17^4+$K$13*B17^3+$K$14*B17^2+$K$15*B17+$K$16)/$K$8</f>
        <v>1.76114822048611</v>
      </c>
      <c r="G17" s="17" t="n">
        <v>2</v>
      </c>
      <c r="H17" s="14" t="s">
        <v>72</v>
      </c>
    </row>
    <row r="18" customFormat="false" ht="15" hidden="false" customHeight="true" outlineLevel="0" collapsed="false">
      <c r="A18" s="12" t="n">
        <v>0.2</v>
      </c>
      <c r="B18" s="13" t="n">
        <v>0.2</v>
      </c>
      <c r="C18" s="14" t="s">
        <v>73</v>
      </c>
      <c r="D18" s="15" t="n">
        <f aca="false">$K$3*B18^5+$K$4*B18^4+$K$5*B18^3+$K$6*B18^2+$K$7*B18+$K$8</f>
        <v>9.006688</v>
      </c>
      <c r="E18" s="16" t="n">
        <f aca="false">D18/$K$8</f>
        <v>2.50185777777778</v>
      </c>
      <c r="F18" s="16" t="n">
        <f aca="false">($K$11*B18^5+$K$12*B18^4+$K$13*B18^3+$K$14*B18^2+$K$15*B18+$K$16)/$K$8</f>
        <v>2.18817777777778</v>
      </c>
      <c r="G18" s="17" t="n">
        <v>2</v>
      </c>
      <c r="H18" s="14" t="s">
        <v>74</v>
      </c>
    </row>
    <row r="19" customFormat="false" ht="15" hidden="false" customHeight="true" outlineLevel="0" collapsed="false">
      <c r="A19" s="12" t="n">
        <v>0.25</v>
      </c>
      <c r="B19" s="13" t="n">
        <v>0.25</v>
      </c>
      <c r="C19" s="14" t="s">
        <v>73</v>
      </c>
      <c r="D19" s="15" t="n">
        <f aca="false">$K$3*B19^5+$K$4*B19^4+$K$5*B19^3+$K$6*B19^2+$K$7*B19+$K$8</f>
        <v>10.7251953125</v>
      </c>
      <c r="E19" s="16" t="n">
        <f aca="false">D19/$K$8</f>
        <v>2.97922092013889</v>
      </c>
      <c r="F19" s="16" t="n">
        <f aca="false">($K$11*B19^5+$K$12*B19^4+$K$13*B19^3+$K$14*B19^2+$K$15*B19+$K$16)/$K$8</f>
        <v>2.63566080729167</v>
      </c>
      <c r="G19" s="17" t="n">
        <v>2</v>
      </c>
      <c r="H19" s="14" t="s">
        <v>75</v>
      </c>
    </row>
    <row r="20" customFormat="false" ht="15" hidden="false" customHeight="true" outlineLevel="0" collapsed="false">
      <c r="A20" s="12" t="n">
        <v>0.3</v>
      </c>
      <c r="B20" s="13" t="n">
        <v>0.3</v>
      </c>
      <c r="C20" s="14" t="s">
        <v>76</v>
      </c>
      <c r="D20" s="15" t="n">
        <f aca="false">$K$3*B20^5+$K$4*B20^4+$K$5*B20^3+$K$6*B20^2+$K$7*B20+$K$8</f>
        <v>12.579282</v>
      </c>
      <c r="E20" s="16" t="n">
        <f aca="false">D20/$K$8</f>
        <v>3.494245</v>
      </c>
      <c r="F20" s="16" t="n">
        <f aca="false">($K$11*B20^5+$K$12*B20^4+$K$13*B20^3+$K$14*B20^2+$K$15*B20+$K$16)/$K$8</f>
        <v>3.10654027777778</v>
      </c>
      <c r="G20" s="17" t="n">
        <v>2</v>
      </c>
      <c r="H20" s="14" t="s">
        <v>77</v>
      </c>
    </row>
    <row r="21" customFormat="false" ht="15" hidden="false" customHeight="true" outlineLevel="0" collapsed="false">
      <c r="A21" s="12" t="n">
        <v>0.35</v>
      </c>
      <c r="B21" s="13" t="n">
        <v>0.35</v>
      </c>
      <c r="C21" s="14" t="s">
        <v>76</v>
      </c>
      <c r="D21" s="15" t="n">
        <f aca="false">$K$3*B21^5+$K$4*B21^4+$K$5*B21^3+$K$6*B21^2+$K$7*B21+$K$8</f>
        <v>14.6002624375</v>
      </c>
      <c r="E21" s="16" t="n">
        <f aca="false">D21/$K$8</f>
        <v>4.05562845486111</v>
      </c>
      <c r="F21" s="16" t="n">
        <f aca="false">($K$11*B21^5+$K$12*B21^4+$K$13*B21^3+$K$14*B21^2+$K$15*B21+$K$16)/$K$8</f>
        <v>3.61592269965278</v>
      </c>
      <c r="G21" s="17" t="n">
        <v>3</v>
      </c>
      <c r="H21" s="14" t="s">
        <v>78</v>
      </c>
    </row>
    <row r="22" customFormat="false" ht="15" hidden="false" customHeight="true" outlineLevel="0" collapsed="false">
      <c r="A22" s="12" t="n">
        <v>0.4</v>
      </c>
      <c r="B22" s="13" t="n">
        <v>0.4</v>
      </c>
      <c r="C22" s="14" t="s">
        <v>79</v>
      </c>
      <c r="D22" s="15" t="n">
        <f aca="false">$K$3*B22^5+$K$4*B22^4+$K$5*B22^3+$K$6*B22^2+$K$7*B22+$K$8</f>
        <v>16.849856</v>
      </c>
      <c r="E22" s="16" t="n">
        <f aca="false">D22/$K$8</f>
        <v>4.68051555555556</v>
      </c>
      <c r="F22" s="16" t="n">
        <f aca="false">($K$11*B22^5+$K$12*B22^4+$K$13*B22^3+$K$14*B22^2+$K$15*B22+$K$16)/$K$8</f>
        <v>4.194</v>
      </c>
      <c r="G22" s="17" t="n">
        <v>3</v>
      </c>
      <c r="H22" s="14" t="s">
        <v>78</v>
      </c>
    </row>
    <row r="23" customFormat="false" ht="15" hidden="false" customHeight="true" outlineLevel="0" collapsed="false">
      <c r="A23" s="12" t="n">
        <v>0.45</v>
      </c>
      <c r="B23" s="13" t="n">
        <v>0.45</v>
      </c>
      <c r="C23" s="14" t="s">
        <v>80</v>
      </c>
      <c r="D23" s="15" t="n">
        <f aca="false">$K$3*B23^5+$K$4*B23^4+$K$5*B23^3+$K$6*B23^2+$K$7*B23+$K$8</f>
        <v>19.4260145625</v>
      </c>
      <c r="E23" s="16" t="n">
        <f aca="false">D23/$K$8</f>
        <v>5.39611515625</v>
      </c>
      <c r="F23" s="16" t="n">
        <f aca="false">($K$11*B23^5+$K$12*B23^4+$K$13*B23^3+$K$14*B23^2+$K$15*B23+$K$16)/$K$8</f>
        <v>4.88897139756945</v>
      </c>
      <c r="G23" s="17" t="n">
        <v>3</v>
      </c>
      <c r="H23" s="14" t="s">
        <v>81</v>
      </c>
    </row>
    <row r="25" customFormat="false" ht="15" hidden="false" customHeight="true" outlineLevel="0" collapsed="false">
      <c r="A25" s="9" t="s">
        <v>82</v>
      </c>
    </row>
    <row r="26" customFormat="false" ht="15" hidden="false" customHeight="true" outlineLevel="0" collapsed="false">
      <c r="A26" s="24" t="s">
        <v>83</v>
      </c>
      <c r="B26" s="24"/>
      <c r="C26" s="24"/>
      <c r="D26" s="24"/>
      <c r="E26" s="24"/>
      <c r="F26" s="24"/>
      <c r="G26" s="24"/>
      <c r="H26" s="24"/>
    </row>
    <row r="27" customFormat="false" ht="15" hidden="false" customHeight="true" outlineLevel="0" collapsed="false">
      <c r="A27" s="24" t="s">
        <v>84</v>
      </c>
      <c r="B27" s="24"/>
      <c r="C27" s="24"/>
      <c r="D27" s="24"/>
      <c r="E27" s="24"/>
      <c r="F27" s="24"/>
      <c r="G27" s="24"/>
      <c r="H27" s="24"/>
    </row>
    <row r="28" customFormat="false" ht="15" hidden="false" customHeight="true" outlineLevel="0" collapsed="false">
      <c r="A28" s="24" t="s">
        <v>85</v>
      </c>
      <c r="B28" s="24"/>
      <c r="C28" s="24"/>
      <c r="D28" s="24"/>
      <c r="E28" s="24"/>
      <c r="F28" s="24"/>
      <c r="G28" s="24"/>
      <c r="H28" s="24"/>
    </row>
    <row r="29" customFormat="false" ht="15" hidden="false" customHeight="true" outlineLevel="0" collapsed="false">
      <c r="A29" s="24" t="s">
        <v>86</v>
      </c>
      <c r="B29" s="24"/>
      <c r="C29" s="24"/>
      <c r="D29" s="24"/>
      <c r="E29" s="24"/>
      <c r="F29" s="24"/>
      <c r="G29" s="24"/>
      <c r="H29" s="24"/>
    </row>
    <row r="30" customFormat="false" ht="15" hidden="false" customHeight="true" outlineLevel="0" collapsed="false">
      <c r="A30" s="24" t="s">
        <v>87</v>
      </c>
      <c r="B30" s="24"/>
      <c r="C30" s="24"/>
      <c r="D30" s="24"/>
      <c r="E30" s="24"/>
      <c r="F30" s="24"/>
      <c r="G30" s="24"/>
      <c r="H30" s="24"/>
    </row>
  </sheetData>
  <mergeCells count="7">
    <mergeCell ref="A1:H1"/>
    <mergeCell ref="A2:H2"/>
    <mergeCell ref="A26:H26"/>
    <mergeCell ref="A27:H27"/>
    <mergeCell ref="A28:H28"/>
    <mergeCell ref="A29:H29"/>
    <mergeCell ref="A30:H30"/>
  </mergeCells>
  <conditionalFormatting sqref="E5:E23">
    <cfRule type="colorScale" priority="2">
      <colorScale>
        <cfvo type="min" val="0"/>
        <cfvo type="num" val="1"/>
        <cfvo type="max" val="0"/>
        <color rgb="FF63BE7B"/>
        <color rgb="FFFFEB84"/>
        <color rgb="FFF8696B"/>
      </colorScale>
    </cfRule>
  </conditionalFormatting>
  <conditionalFormatting sqref="G5:G23">
    <cfRule type="colorScale" priority="3">
      <colorScale>
        <cfvo type="min" val="0"/>
        <cfvo type="max" val="0"/>
        <color rgb="FFFFFFFF"/>
        <color rgb="FFC00000"/>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4" min="3" style="0" width="18"/>
    <col collapsed="false" customWidth="true" hidden="false" outlineLevel="0" max="5" min="5" style="0" width="22"/>
    <col collapsed="false" customWidth="true" hidden="false" outlineLevel="0" max="6" min="6" style="0" width="20"/>
    <col collapsed="false" customWidth="true" hidden="false" outlineLevel="0" max="7" min="7" style="0" width="38"/>
    <col collapsed="false" customWidth="true" hidden="false" outlineLevel="0" max="8" min="8" style="0" width="3"/>
    <col collapsed="false" customWidth="true" hidden="false" outlineLevel="0" max="9" min="9" style="0" width="26"/>
    <col collapsed="false" customWidth="true" hidden="false" outlineLevel="0" max="10" min="10" style="0" width="14"/>
  </cols>
  <sheetData>
    <row r="1" customFormat="false" ht="19.7" hidden="false" customHeight="false" outlineLevel="0" collapsed="false">
      <c r="A1" s="7" t="s">
        <v>88</v>
      </c>
      <c r="B1" s="7"/>
      <c r="C1" s="7"/>
      <c r="D1" s="7"/>
      <c r="E1" s="7"/>
      <c r="F1" s="7"/>
      <c r="G1" s="7"/>
    </row>
    <row r="2" customFormat="false" ht="30" hidden="false" customHeight="true" outlineLevel="0" collapsed="false">
      <c r="A2" s="25" t="s">
        <v>89</v>
      </c>
      <c r="B2" s="25"/>
      <c r="C2" s="25"/>
      <c r="D2" s="25"/>
      <c r="E2" s="25"/>
      <c r="F2" s="25"/>
      <c r="G2" s="25"/>
      <c r="I2" s="26" t="s">
        <v>90</v>
      </c>
    </row>
    <row r="3" customFormat="false" ht="15" hidden="false" customHeight="false" outlineLevel="0" collapsed="false">
      <c r="I3" s="0" t="s">
        <v>91</v>
      </c>
      <c r="J3" s="27" t="n">
        <v>0.4</v>
      </c>
    </row>
    <row r="4" customFormat="false" ht="45" hidden="false" customHeight="true" outlineLevel="0" collapsed="false">
      <c r="A4" s="11" t="s">
        <v>92</v>
      </c>
      <c r="B4" s="11" t="s">
        <v>37</v>
      </c>
      <c r="C4" s="11" t="s">
        <v>93</v>
      </c>
      <c r="D4" s="11" t="s">
        <v>94</v>
      </c>
      <c r="E4" s="11" t="s">
        <v>95</v>
      </c>
      <c r="F4" s="11" t="s">
        <v>96</v>
      </c>
      <c r="G4" s="11" t="s">
        <v>97</v>
      </c>
      <c r="I4" s="0" t="s">
        <v>98</v>
      </c>
      <c r="J4" s="27" t="n">
        <v>0.4</v>
      </c>
    </row>
    <row r="5" customFormat="false" ht="26.85" hidden="false" customHeight="false" outlineLevel="0" collapsed="false">
      <c r="A5" s="20" t="s">
        <v>99</v>
      </c>
      <c r="B5" s="20" t="s">
        <v>100</v>
      </c>
      <c r="C5" s="23" t="s">
        <v>101</v>
      </c>
      <c r="D5" s="23" t="s">
        <v>101</v>
      </c>
      <c r="E5" s="28" t="n">
        <v>2.5</v>
      </c>
      <c r="F5" s="29" t="n">
        <v>1</v>
      </c>
      <c r="G5" s="20" t="s">
        <v>102</v>
      </c>
      <c r="I5" s="0" t="s">
        <v>103</v>
      </c>
      <c r="J5" s="27" t="s">
        <v>104</v>
      </c>
    </row>
    <row r="6" customFormat="false" ht="23.85" hidden="false" customHeight="false" outlineLevel="0" collapsed="false">
      <c r="A6" s="30" t="s">
        <v>105</v>
      </c>
      <c r="B6" s="14" t="s">
        <v>106</v>
      </c>
      <c r="C6" s="17" t="s">
        <v>107</v>
      </c>
      <c r="D6" s="15" t="n">
        <v>0.55</v>
      </c>
      <c r="E6" s="31" t="n">
        <v>1.05</v>
      </c>
      <c r="F6" s="32" t="n">
        <f aca="false">$J$3+$J$4*D6^2</f>
        <v>0.521</v>
      </c>
      <c r="G6" s="33" t="s">
        <v>108</v>
      </c>
      <c r="J6" s="27"/>
    </row>
    <row r="7" customFormat="false" ht="23.85" hidden="false" customHeight="false" outlineLevel="0" collapsed="false">
      <c r="A7" s="30" t="s">
        <v>109</v>
      </c>
      <c r="B7" s="14" t="s">
        <v>110</v>
      </c>
      <c r="C7" s="17" t="s">
        <v>111</v>
      </c>
      <c r="D7" s="15" t="n">
        <v>0.7</v>
      </c>
      <c r="E7" s="31" t="n">
        <v>1.2</v>
      </c>
      <c r="F7" s="32" t="n">
        <f aca="false">$J$3+$J$4*D7^2</f>
        <v>0.596</v>
      </c>
      <c r="G7" s="33" t="s">
        <v>112</v>
      </c>
      <c r="I7" s="26" t="s">
        <v>113</v>
      </c>
      <c r="J7" s="27"/>
    </row>
    <row r="8" customFormat="false" ht="23.85" hidden="false" customHeight="false" outlineLevel="0" collapsed="false">
      <c r="A8" s="30" t="s">
        <v>114</v>
      </c>
      <c r="B8" s="14" t="s">
        <v>115</v>
      </c>
      <c r="C8" s="17" t="s">
        <v>116</v>
      </c>
      <c r="D8" s="15" t="n">
        <v>0.85</v>
      </c>
      <c r="E8" s="31" t="n">
        <v>1.5</v>
      </c>
      <c r="F8" s="32" t="n">
        <f aca="false">$J$3+$J$4*D8^2</f>
        <v>0.689</v>
      </c>
      <c r="G8" s="33" t="s">
        <v>117</v>
      </c>
      <c r="I8" s="0" t="s">
        <v>118</v>
      </c>
      <c r="J8" s="27" t="n">
        <v>2.5</v>
      </c>
    </row>
    <row r="9" customFormat="false" ht="23.85" hidden="false" customHeight="false" outlineLevel="0" collapsed="false">
      <c r="A9" s="30" t="s">
        <v>119</v>
      </c>
      <c r="B9" s="14" t="s">
        <v>120</v>
      </c>
      <c r="C9" s="17" t="s">
        <v>121</v>
      </c>
      <c r="D9" s="15" t="n">
        <v>1</v>
      </c>
      <c r="E9" s="31" t="n">
        <v>1.8</v>
      </c>
      <c r="F9" s="32" t="n">
        <f aca="false">$J$3+$J$4*D9^2</f>
        <v>0.8</v>
      </c>
      <c r="G9" s="33" t="s">
        <v>122</v>
      </c>
      <c r="I9" s="0" t="s">
        <v>123</v>
      </c>
      <c r="J9" s="27" t="n">
        <v>1.2</v>
      </c>
    </row>
    <row r="10" customFormat="false" ht="23.85" hidden="false" customHeight="false" outlineLevel="0" collapsed="false">
      <c r="A10" s="30" t="s">
        <v>124</v>
      </c>
      <c r="B10" s="14" t="s">
        <v>125</v>
      </c>
      <c r="C10" s="17" t="s">
        <v>126</v>
      </c>
      <c r="D10" s="15" t="n">
        <v>1.1</v>
      </c>
      <c r="E10" s="31" t="n">
        <v>2</v>
      </c>
      <c r="F10" s="32" t="n">
        <f aca="false">$J$3+$J$4*D10^2</f>
        <v>0.884</v>
      </c>
      <c r="G10" s="33" t="s">
        <v>127</v>
      </c>
      <c r="I10" s="0" t="s">
        <v>128</v>
      </c>
      <c r="J10" s="27" t="n">
        <v>1.19</v>
      </c>
    </row>
    <row r="11" customFormat="false" ht="23.85" hidden="false" customHeight="false" outlineLevel="0" collapsed="false">
      <c r="A11" s="30" t="s">
        <v>129</v>
      </c>
      <c r="B11" s="14" t="s">
        <v>130</v>
      </c>
      <c r="C11" s="17" t="s">
        <v>131</v>
      </c>
      <c r="D11" s="15" t="n">
        <v>1.2</v>
      </c>
      <c r="E11" s="31" t="n">
        <v>2.5</v>
      </c>
      <c r="F11" s="32" t="n">
        <f aca="false">$J$3+$J$4*D11^2</f>
        <v>0.976</v>
      </c>
      <c r="G11" s="33" t="s">
        <v>132</v>
      </c>
    </row>
    <row r="13" customFormat="false" ht="15" hidden="false" customHeight="false" outlineLevel="0" collapsed="false">
      <c r="A13" s="26" t="s">
        <v>133</v>
      </c>
    </row>
    <row r="14" customFormat="false" ht="15" hidden="false" customHeight="true" outlineLevel="0" collapsed="false">
      <c r="A14" s="24" t="s">
        <v>134</v>
      </c>
      <c r="B14" s="24"/>
      <c r="C14" s="24"/>
      <c r="D14" s="24"/>
      <c r="E14" s="24"/>
      <c r="F14" s="24"/>
      <c r="G14" s="24"/>
    </row>
    <row r="15" customFormat="false" ht="15" hidden="false" customHeight="true" outlineLevel="0" collapsed="false">
      <c r="A15" s="24" t="s">
        <v>135</v>
      </c>
      <c r="B15" s="24"/>
      <c r="C15" s="24"/>
      <c r="D15" s="24"/>
      <c r="E15" s="24"/>
      <c r="F15" s="24"/>
      <c r="G15" s="24"/>
    </row>
    <row r="16" customFormat="false" ht="15" hidden="false" customHeight="true" outlineLevel="0" collapsed="false">
      <c r="A16" s="24" t="s">
        <v>136</v>
      </c>
      <c r="B16" s="24"/>
      <c r="C16" s="24"/>
      <c r="D16" s="24"/>
      <c r="E16" s="24"/>
      <c r="F16" s="24"/>
      <c r="G16" s="24"/>
    </row>
    <row r="17" customFormat="false" ht="15" hidden="false" customHeight="true" outlineLevel="0" collapsed="false">
      <c r="A17" s="24" t="s">
        <v>137</v>
      </c>
      <c r="B17" s="24"/>
      <c r="C17" s="24"/>
      <c r="D17" s="24"/>
      <c r="E17" s="24"/>
      <c r="F17" s="24"/>
      <c r="G17" s="24"/>
    </row>
    <row r="18" customFormat="false" ht="15" hidden="false" customHeight="true" outlineLevel="0" collapsed="false">
      <c r="A18" s="24" t="s">
        <v>138</v>
      </c>
      <c r="B18" s="24"/>
      <c r="C18" s="24"/>
      <c r="D18" s="24"/>
      <c r="E18" s="24"/>
      <c r="F18" s="24"/>
      <c r="G18" s="24"/>
    </row>
    <row r="19" customFormat="false" ht="15" hidden="false" customHeight="true" outlineLevel="0" collapsed="false">
      <c r="A19" s="24" t="s">
        <v>139</v>
      </c>
      <c r="B19" s="24"/>
      <c r="C19" s="24"/>
      <c r="D19" s="24"/>
      <c r="E19" s="24"/>
      <c r="F19" s="24"/>
      <c r="G19" s="24"/>
    </row>
  </sheetData>
  <mergeCells count="8">
    <mergeCell ref="A1:G1"/>
    <mergeCell ref="A2:G2"/>
    <mergeCell ref="A14:G14"/>
    <mergeCell ref="A15:G15"/>
    <mergeCell ref="A16:G16"/>
    <mergeCell ref="A17:G17"/>
    <mergeCell ref="A18:G18"/>
    <mergeCell ref="A19:G19"/>
  </mergeCells>
  <conditionalFormatting sqref="F6:F11">
    <cfRule type="colorScale" priority="2">
      <colorScale>
        <cfvo type="min" val="0"/>
        <cfvo type="num" val="1"/>
        <cfvo type="max" val="0"/>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4" min="3" style="0" width="22"/>
    <col collapsed="false" customWidth="true" hidden="false" outlineLevel="0" max="5" min="5" style="0" width="24"/>
    <col collapsed="false" customWidth="true" hidden="false" outlineLevel="0" max="6" min="6" style="0" width="28"/>
  </cols>
  <sheetData>
    <row r="1" customFormat="false" ht="19.7" hidden="false" customHeight="false" outlineLevel="0" collapsed="false">
      <c r="A1" s="34" t="s">
        <v>140</v>
      </c>
      <c r="B1" s="34"/>
      <c r="C1" s="34"/>
      <c r="D1" s="34"/>
      <c r="E1" s="34"/>
      <c r="F1" s="34"/>
    </row>
    <row r="2" customFormat="false" ht="30" hidden="false" customHeight="true" outlineLevel="0" collapsed="false">
      <c r="A2" s="25" t="s">
        <v>141</v>
      </c>
      <c r="B2" s="25"/>
      <c r="C2" s="25"/>
      <c r="D2" s="25"/>
      <c r="E2" s="25"/>
      <c r="F2" s="25"/>
    </row>
    <row r="4" customFormat="false" ht="45" hidden="false" customHeight="true" outlineLevel="0" collapsed="false">
      <c r="A4" s="11" t="s">
        <v>142</v>
      </c>
      <c r="B4" s="11" t="s">
        <v>143</v>
      </c>
      <c r="C4" s="11" t="s">
        <v>94</v>
      </c>
      <c r="D4" s="11" t="s">
        <v>96</v>
      </c>
      <c r="E4" s="11" t="s">
        <v>144</v>
      </c>
      <c r="F4" s="11" t="s">
        <v>145</v>
      </c>
    </row>
    <row r="5" customFormat="false" ht="15" hidden="false" customHeight="false" outlineLevel="0" collapsed="false">
      <c r="A5" s="14" t="s">
        <v>146</v>
      </c>
      <c r="B5" s="35" t="n">
        <v>45</v>
      </c>
      <c r="C5" s="36" t="n">
        <v>0.55</v>
      </c>
      <c r="D5" s="37" t="n">
        <f aca="false">0.4+0.4*C5^2</f>
        <v>0.521</v>
      </c>
      <c r="E5" s="38" t="n">
        <f aca="false">B5*D5</f>
        <v>23.445</v>
      </c>
      <c r="F5" s="39" t="n">
        <f aca="false">B5*MIN(1,C5+0.2)</f>
        <v>33.75</v>
      </c>
    </row>
    <row r="6" customFormat="false" ht="15" hidden="false" customHeight="false" outlineLevel="0" collapsed="false">
      <c r="A6" s="14" t="s">
        <v>147</v>
      </c>
      <c r="B6" s="35" t="n">
        <v>90</v>
      </c>
      <c r="C6" s="36" t="n">
        <v>0.7</v>
      </c>
      <c r="D6" s="37" t="n">
        <f aca="false">0.4+0.4*C6^2</f>
        <v>0.596</v>
      </c>
      <c r="E6" s="38" t="n">
        <f aca="false">B6*D6</f>
        <v>53.64</v>
      </c>
      <c r="F6" s="39" t="n">
        <f aca="false">B6*MIN(1,C6+0.2)</f>
        <v>81</v>
      </c>
    </row>
    <row r="7" customFormat="false" ht="15" hidden="false" customHeight="false" outlineLevel="0" collapsed="false">
      <c r="A7" s="14" t="s">
        <v>114</v>
      </c>
      <c r="B7" s="35" t="n">
        <v>60</v>
      </c>
      <c r="C7" s="36" t="n">
        <v>0.85</v>
      </c>
      <c r="D7" s="37" t="n">
        <f aca="false">0.4+0.4*C7^2</f>
        <v>0.689</v>
      </c>
      <c r="E7" s="38" t="n">
        <f aca="false">B7*D7</f>
        <v>41.34</v>
      </c>
      <c r="F7" s="39" t="n">
        <f aca="false">B7*MIN(1,C7+0.2)</f>
        <v>60</v>
      </c>
    </row>
    <row r="8" customFormat="false" ht="15" hidden="false" customHeight="false" outlineLevel="0" collapsed="false">
      <c r="A8" s="14" t="s">
        <v>148</v>
      </c>
      <c r="B8" s="35" t="n">
        <v>45</v>
      </c>
      <c r="C8" s="36" t="n">
        <v>0.95</v>
      </c>
      <c r="D8" s="37" t="n">
        <f aca="false">0.4+0.4*C8^2</f>
        <v>0.761</v>
      </c>
      <c r="E8" s="38" t="n">
        <f aca="false">B8*D8</f>
        <v>34.245</v>
      </c>
      <c r="F8" s="39" t="n">
        <f aca="false">B8*MIN(1,C8+0.2)</f>
        <v>45</v>
      </c>
    </row>
    <row r="9" customFormat="false" ht="15" hidden="false" customHeight="false" outlineLevel="0" collapsed="false">
      <c r="A9" s="14" t="s">
        <v>149</v>
      </c>
      <c r="B9" s="35" t="n">
        <v>150</v>
      </c>
      <c r="C9" s="36" t="n">
        <v>0.68</v>
      </c>
      <c r="D9" s="37" t="n">
        <f aca="false">0.4+0.4*C9^2</f>
        <v>0.58496</v>
      </c>
      <c r="E9" s="38" t="n">
        <f aca="false">B9*D9</f>
        <v>87.744</v>
      </c>
      <c r="F9" s="39" t="n">
        <f aca="false">B9*MIN(1,C9+0.2)</f>
        <v>132</v>
      </c>
    </row>
    <row r="10" customFormat="false" ht="15" hidden="false" customHeight="false" outlineLevel="0" collapsed="false">
      <c r="A10" s="40"/>
      <c r="B10" s="41"/>
      <c r="C10" s="42"/>
      <c r="D10" s="43" t="str">
        <f aca="false">IF(C10="","",0.4+0.4*C10^2)</f>
        <v/>
      </c>
      <c r="E10" s="38" t="str">
        <f aca="false">IF(OR(B10="",D10=""),"",B10*D10)</f>
        <v/>
      </c>
      <c r="F10" s="44" t="str">
        <f aca="false">IF(OR(B10="",C10=""),"",B10*MIN(1,C10+0.2))</f>
        <v/>
      </c>
    </row>
    <row r="11" customFormat="false" ht="15" hidden="false" customHeight="false" outlineLevel="0" collapsed="false">
      <c r="A11" s="40"/>
      <c r="B11" s="41"/>
      <c r="C11" s="42"/>
      <c r="D11" s="43" t="str">
        <f aca="false">IF(C11="","",0.4+0.4*C11^2)</f>
        <v/>
      </c>
      <c r="E11" s="38" t="str">
        <f aca="false">IF(OR(B11="",D11=""),"",B11*D11)</f>
        <v/>
      </c>
      <c r="F11" s="44" t="str">
        <f aca="false">IF(OR(B11="",C11=""),"",B11*MIN(1,C11+0.2))</f>
        <v/>
      </c>
    </row>
    <row r="12" customFormat="false" ht="15" hidden="false" customHeight="false" outlineLevel="0" collapsed="false">
      <c r="A12" s="40"/>
      <c r="B12" s="41"/>
      <c r="C12" s="42"/>
      <c r="D12" s="43" t="str">
        <f aca="false">IF(C12="","",0.4+0.4*C12^2)</f>
        <v/>
      </c>
      <c r="E12" s="38" t="str">
        <f aca="false">IF(OR(B12="",D12=""),"",B12*D12)</f>
        <v/>
      </c>
      <c r="F12" s="44" t="str">
        <f aca="false">IF(OR(B12="",C12=""),"",B12*MIN(1,C12+0.2))</f>
        <v/>
      </c>
    </row>
    <row r="13" customFormat="false" ht="15" hidden="false" customHeight="false" outlineLevel="0" collapsed="false">
      <c r="A13" s="40"/>
      <c r="B13" s="41"/>
      <c r="C13" s="42"/>
      <c r="D13" s="43" t="str">
        <f aca="false">IF(C13="","",0.4+0.4*C13^2)</f>
        <v/>
      </c>
      <c r="E13" s="38" t="str">
        <f aca="false">IF(OR(B13="",D13=""),"",B13*D13)</f>
        <v/>
      </c>
      <c r="F13" s="44" t="str">
        <f aca="false">IF(OR(B13="",C13=""),"",B13*MIN(1,C13+0.2))</f>
        <v/>
      </c>
    </row>
    <row r="14" customFormat="false" ht="15" hidden="false" customHeight="false" outlineLevel="0" collapsed="false">
      <c r="A14" s="40"/>
      <c r="B14" s="41"/>
      <c r="C14" s="42"/>
      <c r="D14" s="43" t="str">
        <f aca="false">IF(C14="","",0.4+0.4*C14^2)</f>
        <v/>
      </c>
      <c r="E14" s="38" t="str">
        <f aca="false">IF(OR(B14="",D14=""),"",B14*D14)</f>
        <v/>
      </c>
      <c r="F14" s="44" t="str">
        <f aca="false">IF(OR(B14="",C14=""),"",B14*MIN(1,C14+0.2))</f>
        <v/>
      </c>
    </row>
    <row r="16" customFormat="false" ht="15" hidden="false" customHeight="false" outlineLevel="0" collapsed="false">
      <c r="A16" s="11" t="s">
        <v>150</v>
      </c>
      <c r="B16" s="45" t="n">
        <f aca="false">SUM(B5:B14)</f>
        <v>390</v>
      </c>
      <c r="C16" s="46" t="s">
        <v>101</v>
      </c>
      <c r="D16" s="47" t="n">
        <f aca="false">IFERROR(E16/B16,0)</f>
        <v>0.616446153846154</v>
      </c>
      <c r="E16" s="45" t="n">
        <f aca="false">SUM(E5:E14)</f>
        <v>240.414</v>
      </c>
      <c r="F16" s="45" t="n">
        <f aca="false">SUM(F5:F14)</f>
        <v>351.75</v>
      </c>
    </row>
    <row r="18" customFormat="false" ht="15" hidden="false" customHeight="false" outlineLevel="0" collapsed="false">
      <c r="A18" s="48" t="s">
        <v>151</v>
      </c>
      <c r="B18" s="48"/>
      <c r="C18" s="48"/>
      <c r="D18" s="48"/>
      <c r="E18" s="48"/>
      <c r="F18" s="48"/>
    </row>
    <row r="19" customFormat="false" ht="15" hidden="false" customHeight="true" outlineLevel="0" collapsed="false">
      <c r="A19" s="24" t="s">
        <v>152</v>
      </c>
      <c r="B19" s="24"/>
      <c r="C19" s="24"/>
      <c r="D19" s="24"/>
      <c r="E19" s="24"/>
      <c r="F19" s="24"/>
    </row>
    <row r="20" customFormat="false" ht="15" hidden="false" customHeight="true" outlineLevel="0" collapsed="false">
      <c r="A20" s="24" t="s">
        <v>153</v>
      </c>
      <c r="B20" s="24"/>
      <c r="C20" s="24"/>
      <c r="D20" s="24"/>
      <c r="E20" s="24"/>
      <c r="F20" s="24"/>
    </row>
    <row r="21" customFormat="false" ht="15" hidden="false" customHeight="true" outlineLevel="0" collapsed="false">
      <c r="A21" s="24" t="s">
        <v>154</v>
      </c>
      <c r="B21" s="24"/>
      <c r="C21" s="24"/>
      <c r="D21" s="24"/>
      <c r="E21" s="24"/>
      <c r="F21" s="24"/>
    </row>
    <row r="22" customFormat="false" ht="15" hidden="false" customHeight="true" outlineLevel="0" collapsed="false">
      <c r="A22" s="24" t="s">
        <v>155</v>
      </c>
      <c r="B22" s="24"/>
      <c r="C22" s="24"/>
      <c r="D22" s="24"/>
      <c r="E22" s="24"/>
      <c r="F22" s="24"/>
    </row>
    <row r="23" customFormat="false" ht="15" hidden="false" customHeight="true" outlineLevel="0" collapsed="false">
      <c r="A23" s="24" t="s">
        <v>156</v>
      </c>
      <c r="B23" s="24"/>
      <c r="C23" s="24"/>
      <c r="D23" s="24"/>
      <c r="E23" s="24"/>
      <c r="F23" s="24"/>
    </row>
  </sheetData>
  <mergeCells count="8">
    <mergeCell ref="A1:F1"/>
    <mergeCell ref="A2:F2"/>
    <mergeCell ref="A18:F18"/>
    <mergeCell ref="A19:F19"/>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4"/>
    <col collapsed="false" customWidth="true" hidden="false" outlineLevel="0" max="3" min="3" style="1" width="18"/>
    <col collapsed="false" customWidth="true" hidden="false" outlineLevel="0" max="4" min="4" style="1" width="22"/>
    <col collapsed="false" customWidth="true" hidden="false" outlineLevel="0" max="5" min="5" style="1" width="28"/>
    <col collapsed="false" customWidth="true" hidden="false" outlineLevel="0" max="6" min="6" style="1" width="30"/>
  </cols>
  <sheetData>
    <row r="1" customFormat="false" ht="19.5" hidden="false" customHeight="true" outlineLevel="0" collapsed="false">
      <c r="A1" s="49" t="s">
        <v>157</v>
      </c>
      <c r="B1" s="49"/>
      <c r="C1" s="49"/>
      <c r="D1" s="49"/>
      <c r="E1" s="49"/>
      <c r="F1" s="49"/>
    </row>
    <row r="2" customFormat="false" ht="15" hidden="false" customHeight="true" outlineLevel="0" collapsed="false">
      <c r="A2" s="25" t="s">
        <v>158</v>
      </c>
      <c r="B2" s="25"/>
      <c r="C2" s="25"/>
      <c r="D2" s="25"/>
      <c r="E2" s="25"/>
      <c r="F2" s="25"/>
    </row>
    <row r="4" customFormat="false" ht="39.75" hidden="false" customHeight="true" outlineLevel="0" collapsed="false">
      <c r="A4" s="11" t="s">
        <v>159</v>
      </c>
      <c r="B4" s="11" t="s">
        <v>160</v>
      </c>
      <c r="C4" s="11" t="s">
        <v>161</v>
      </c>
      <c r="D4" s="11" t="s">
        <v>162</v>
      </c>
      <c r="E4" s="11" t="s">
        <v>163</v>
      </c>
      <c r="F4" s="11" t="s">
        <v>97</v>
      </c>
    </row>
    <row r="5" customFormat="false" ht="15" hidden="false" customHeight="true" outlineLevel="0" collapsed="false">
      <c r="A5" s="14" t="s">
        <v>164</v>
      </c>
      <c r="B5" s="36" t="n">
        <v>2</v>
      </c>
      <c r="C5" s="50" t="n">
        <v>0.05</v>
      </c>
      <c r="D5" s="16" t="n">
        <f aca="false">(155.4*C5^5-30.4*C5^4-43.3*C5^3+46.3*C5^2+19.5*C5+3.6)/3.6</f>
        <v>1.30144335069444</v>
      </c>
      <c r="E5" s="15" t="n">
        <f aca="false">B5*D5</f>
        <v>2.60288670138889</v>
      </c>
      <c r="F5" s="33" t="s">
        <v>165</v>
      </c>
    </row>
    <row r="6" customFormat="false" ht="15" hidden="false" customHeight="true" outlineLevel="0" collapsed="false">
      <c r="A6" s="14" t="s">
        <v>166</v>
      </c>
      <c r="B6" s="36" t="n">
        <v>2.5</v>
      </c>
      <c r="C6" s="50" t="n">
        <v>0.22</v>
      </c>
      <c r="D6" s="16" t="n">
        <f aca="false">(155.4*C6^5-30.4*C6^4-43.3*C6^3+46.3*C6^2+19.5*C6+3.6)/3.6</f>
        <v>2.68853756035556</v>
      </c>
      <c r="E6" s="15" t="n">
        <f aca="false">B6*D6</f>
        <v>6.72134390088889</v>
      </c>
      <c r="F6" s="33" t="s">
        <v>167</v>
      </c>
    </row>
    <row r="7" customFormat="false" ht="15" hidden="false" customHeight="true" outlineLevel="0" collapsed="false">
      <c r="A7" s="14" t="s">
        <v>168</v>
      </c>
      <c r="B7" s="36" t="n">
        <v>1</v>
      </c>
      <c r="C7" s="50" t="n">
        <v>-0.18</v>
      </c>
      <c r="D7" s="16" t="n">
        <f aca="false">(155.4*C7^5-30.4*C7^4-43.3*C7^3+46.3*C7^2+19.5*C7+3.6)/3.6</f>
        <v>0.4948247248</v>
      </c>
      <c r="E7" s="15" t="n">
        <f aca="false">B7*D7</f>
        <v>0.4948247248</v>
      </c>
      <c r="F7" s="33" t="s">
        <v>169</v>
      </c>
    </row>
    <row r="8" customFormat="false" ht="15" hidden="false" customHeight="true" outlineLevel="0" collapsed="false">
      <c r="A8" s="14" t="s">
        <v>170</v>
      </c>
      <c r="B8" s="36" t="n">
        <v>1.5</v>
      </c>
      <c r="C8" s="50" t="n">
        <v>0.15</v>
      </c>
      <c r="D8" s="16" t="n">
        <f aca="false">(155.4*C8^5-30.4*C8^4-43.3*C8^3+46.3*C8^2+19.5*C8+3.6)/3.6</f>
        <v>2.06028421875</v>
      </c>
      <c r="E8" s="15" t="n">
        <f aca="false">B8*D8</f>
        <v>3.090426328125</v>
      </c>
      <c r="F8" s="33" t="s">
        <v>171</v>
      </c>
    </row>
    <row r="9" customFormat="false" ht="15" hidden="false" customHeight="true" outlineLevel="0" collapsed="false">
      <c r="A9" s="14" t="s">
        <v>172</v>
      </c>
      <c r="B9" s="36" t="n">
        <v>0.3</v>
      </c>
      <c r="C9" s="50" t="n">
        <v>0.4</v>
      </c>
      <c r="D9" s="16" t="n">
        <f aca="false">(155.4*C9^5-30.4*C9^4-43.3*C9^3+46.3*C9^2+19.5*C9+3.6)/3.6</f>
        <v>4.68051555555556</v>
      </c>
      <c r="E9" s="15" t="n">
        <f aca="false">B9*D9</f>
        <v>1.40415466666667</v>
      </c>
      <c r="F9" s="33" t="s">
        <v>173</v>
      </c>
    </row>
    <row r="10" customFormat="false" ht="15" hidden="false" customHeight="true" outlineLevel="0" collapsed="false">
      <c r="A10" s="14" t="s">
        <v>174</v>
      </c>
      <c r="B10" s="36" t="n">
        <v>1</v>
      </c>
      <c r="C10" s="50" t="n">
        <v>0.05</v>
      </c>
      <c r="D10" s="16" t="n">
        <f aca="false">(155.4*C10^5-30.4*C10^4-43.3*C10^3+46.3*C10^2+19.5*C10+3.6)/3.6</f>
        <v>1.30144335069444</v>
      </c>
      <c r="E10" s="15" t="n">
        <f aca="false">B10*D10</f>
        <v>1.30144335069444</v>
      </c>
      <c r="F10" s="33" t="s">
        <v>175</v>
      </c>
    </row>
    <row r="11" customFormat="false" ht="15" hidden="false" customHeight="true" outlineLevel="0" collapsed="false">
      <c r="A11" s="14" t="s">
        <v>176</v>
      </c>
      <c r="B11" s="36" t="n">
        <v>2.5</v>
      </c>
      <c r="C11" s="50" t="n">
        <v>-0.2</v>
      </c>
      <c r="D11" s="16" t="n">
        <f aca="false">(155.4*C11^5-30.4*C11^4-43.3*C11^3+46.3*C11^2+19.5*C11+3.6)/3.6</f>
        <v>0.500008888888889</v>
      </c>
      <c r="E11" s="15" t="n">
        <f aca="false">B11*D11</f>
        <v>1.25002222222222</v>
      </c>
      <c r="F11" s="33" t="s">
        <v>177</v>
      </c>
    </row>
    <row r="12" customFormat="false" ht="15" hidden="false" customHeight="true" outlineLevel="0" collapsed="false">
      <c r="A12" s="14" t="s">
        <v>178</v>
      </c>
      <c r="B12" s="36" t="n">
        <v>4</v>
      </c>
      <c r="C12" s="50" t="n">
        <v>0.03</v>
      </c>
      <c r="D12" s="16" t="n">
        <f aca="false">(155.4*C12^5-30.4*C12^4-43.3*C12^3+46.3*C12^2+19.5*C12+3.6)/3.6</f>
        <v>1.17374445895</v>
      </c>
      <c r="E12" s="15" t="n">
        <f aca="false">B12*D12</f>
        <v>4.6949778358</v>
      </c>
      <c r="F12" s="33" t="s">
        <v>179</v>
      </c>
    </row>
    <row r="13" customFormat="false" ht="15" hidden="false" customHeight="true" outlineLevel="0" collapsed="false">
      <c r="A13" s="14" t="s">
        <v>180</v>
      </c>
      <c r="B13" s="36" t="n">
        <v>3</v>
      </c>
      <c r="C13" s="50" t="n">
        <v>0.12</v>
      </c>
      <c r="D13" s="16" t="n">
        <f aca="false">(155.4*C13^5-30.4*C13^4-43.3*C13^3+46.3*C13^2+19.5*C13+3.6)/3.6</f>
        <v>1.8137390848</v>
      </c>
      <c r="E13" s="15" t="n">
        <f aca="false">B13*D13</f>
        <v>5.4412172544</v>
      </c>
      <c r="F13" s="33" t="s">
        <v>181</v>
      </c>
    </row>
    <row r="14" customFormat="false" ht="15" hidden="false" customHeight="true" outlineLevel="0" collapsed="false">
      <c r="A14" s="14" t="s">
        <v>182</v>
      </c>
      <c r="B14" s="36" t="n">
        <v>3.9</v>
      </c>
      <c r="C14" s="50" t="n">
        <v>-0.15</v>
      </c>
      <c r="D14" s="16" t="n">
        <f aca="false">(155.4*C14^5-30.4*C14^4-43.3*C14^3+46.3*C14^2+19.5*C14+3.6)/3.6</f>
        <v>0.50991578125</v>
      </c>
      <c r="E14" s="15" t="n">
        <f aca="false">B14*D14</f>
        <v>1.988671546875</v>
      </c>
      <c r="F14" s="33" t="s">
        <v>183</v>
      </c>
    </row>
    <row r="15" customFormat="false" ht="15" hidden="false" customHeight="true" outlineLevel="0" collapsed="false">
      <c r="A15" s="51"/>
      <c r="B15" s="52"/>
      <c r="C15" s="53"/>
      <c r="D15" s="54" t="str">
        <f aca="false">IF(OR(B15="",C15=""),"",(155.4*C15^5-30.4*C15^4-43.3*C15^3+46.3*C15^2+19.5*C15+3.6)/3.6)</f>
        <v/>
      </c>
      <c r="E15" s="55" t="str">
        <f aca="false">IF(OR(B15="",D15=""),"",B15*D15)</f>
        <v/>
      </c>
      <c r="F15" s="51"/>
    </row>
    <row r="16" customFormat="false" ht="15" hidden="false" customHeight="true" outlineLevel="0" collapsed="false">
      <c r="A16" s="51"/>
      <c r="B16" s="52"/>
      <c r="C16" s="53"/>
      <c r="D16" s="54" t="str">
        <f aca="false">IF(OR(B16="",C16=""),"",(155.4*C16^5-30.4*C16^4-43.3*C16^3+46.3*C16^2+19.5*C16+3.6)/3.6)</f>
        <v/>
      </c>
      <c r="E16" s="55" t="str">
        <f aca="false">IF(OR(B16="",D16=""),"",B16*D16)</f>
        <v/>
      </c>
      <c r="F16" s="51"/>
    </row>
    <row r="18" customFormat="false" ht="15" hidden="false" customHeight="true" outlineLevel="0" collapsed="false">
      <c r="A18" s="11" t="s">
        <v>184</v>
      </c>
      <c r="B18" s="56" t="n">
        <f aca="false">SUM(B5:B16)</f>
        <v>21.7</v>
      </c>
      <c r="C18" s="46" t="s">
        <v>101</v>
      </c>
      <c r="D18" s="57" t="n">
        <f aca="false">IFERROR(E18/B18,0)</f>
        <v>1.33594325031618</v>
      </c>
      <c r="E18" s="56" t="n">
        <f aca="false">SUM(E5:E16)</f>
        <v>28.9899685318611</v>
      </c>
      <c r="F18" s="58" t="s">
        <v>185</v>
      </c>
    </row>
    <row r="20" customFormat="false" ht="15" hidden="false" customHeight="true" outlineLevel="0" collapsed="false">
      <c r="A20" s="59" t="s">
        <v>186</v>
      </c>
      <c r="B20" s="59"/>
      <c r="C20" s="59"/>
      <c r="D20" s="59"/>
      <c r="E20" s="59"/>
      <c r="F20" s="59"/>
    </row>
  </sheetData>
  <mergeCells count="3">
    <mergeCell ref="A1:F1"/>
    <mergeCell ref="A2:F2"/>
    <mergeCell ref="A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3" min="3" style="1" width="18"/>
    <col collapsed="false" customWidth="true" hidden="false" outlineLevel="0" max="4" min="4" style="1" width="16"/>
    <col collapsed="false" customWidth="true" hidden="false" outlineLevel="0" max="5" min="5" style="1" width="18"/>
    <col collapsed="false" customWidth="true" hidden="false" outlineLevel="0" max="6" min="6" style="1" width="50"/>
  </cols>
  <sheetData>
    <row r="1" customFormat="false" ht="19.5" hidden="false" customHeight="true" outlineLevel="0" collapsed="false">
      <c r="A1" s="49" t="s">
        <v>187</v>
      </c>
      <c r="B1" s="49"/>
      <c r="C1" s="49"/>
      <c r="D1" s="49"/>
      <c r="E1" s="49"/>
      <c r="F1" s="49"/>
    </row>
    <row r="2" customFormat="false" ht="15" hidden="false" customHeight="true" outlineLevel="0" collapsed="false">
      <c r="A2" s="25" t="s">
        <v>188</v>
      </c>
      <c r="B2" s="25"/>
      <c r="C2" s="25"/>
      <c r="D2" s="25"/>
      <c r="E2" s="25"/>
      <c r="F2" s="25"/>
    </row>
    <row r="4" customFormat="false" ht="34.5" hidden="false" customHeight="true" outlineLevel="0" collapsed="false">
      <c r="A4" s="11" t="s">
        <v>189</v>
      </c>
      <c r="B4" s="11" t="s">
        <v>190</v>
      </c>
      <c r="C4" s="11" t="s">
        <v>191</v>
      </c>
      <c r="D4" s="11" t="s">
        <v>192</v>
      </c>
      <c r="E4" s="11" t="s">
        <v>193</v>
      </c>
      <c r="F4" s="11" t="s">
        <v>97</v>
      </c>
    </row>
    <row r="5" customFormat="false" ht="31.5" hidden="false" customHeight="true" outlineLevel="0" collapsed="false">
      <c r="A5" s="14" t="s">
        <v>194</v>
      </c>
      <c r="B5" s="17" t="s">
        <v>195</v>
      </c>
      <c r="C5" s="60" t="n">
        <v>1400</v>
      </c>
      <c r="D5" s="17" t="s">
        <v>196</v>
      </c>
      <c r="E5" s="17" t="s">
        <v>197</v>
      </c>
      <c r="F5" s="14" t="s">
        <v>198</v>
      </c>
    </row>
    <row r="6" customFormat="false" ht="31.5" hidden="false" customHeight="true" outlineLevel="0" collapsed="false">
      <c r="A6" s="14" t="s">
        <v>199</v>
      </c>
      <c r="B6" s="17" t="s">
        <v>200</v>
      </c>
      <c r="C6" s="60" t="n">
        <v>914</v>
      </c>
      <c r="D6" s="17" t="s">
        <v>201</v>
      </c>
      <c r="E6" s="17" t="s">
        <v>202</v>
      </c>
      <c r="F6" s="14" t="s">
        <v>203</v>
      </c>
    </row>
    <row r="7" customFormat="false" ht="31.5" hidden="false" customHeight="true" outlineLevel="0" collapsed="false">
      <c r="A7" s="14" t="s">
        <v>204</v>
      </c>
      <c r="B7" s="17" t="s">
        <v>205</v>
      </c>
      <c r="C7" s="60" t="n">
        <v>3050</v>
      </c>
      <c r="D7" s="17" t="s">
        <v>206</v>
      </c>
      <c r="E7" s="17" t="s">
        <v>202</v>
      </c>
      <c r="F7" s="14" t="s">
        <v>207</v>
      </c>
    </row>
    <row r="8" customFormat="false" ht="31.5" hidden="false" customHeight="true" outlineLevel="0" collapsed="false">
      <c r="A8" s="14" t="s">
        <v>208</v>
      </c>
      <c r="B8" s="17" t="s">
        <v>209</v>
      </c>
      <c r="C8" s="60" t="n">
        <v>600</v>
      </c>
      <c r="D8" s="17" t="s">
        <v>210</v>
      </c>
      <c r="E8" s="17" t="s">
        <v>211</v>
      </c>
      <c r="F8" s="14" t="s">
        <v>212</v>
      </c>
    </row>
    <row r="9" customFormat="false" ht="31.5" hidden="false" customHeight="true" outlineLevel="0" collapsed="false">
      <c r="A9" s="14" t="s">
        <v>213</v>
      </c>
      <c r="B9" s="17" t="s">
        <v>214</v>
      </c>
      <c r="C9" s="60" t="n">
        <v>27</v>
      </c>
      <c r="D9" s="17" t="s">
        <v>215</v>
      </c>
      <c r="E9" s="17" t="s">
        <v>215</v>
      </c>
      <c r="F9" s="14" t="s">
        <v>216</v>
      </c>
    </row>
    <row r="10" customFormat="false" ht="31.5" hidden="false" customHeight="true" outlineLevel="0" collapsed="false">
      <c r="A10" s="14" t="s">
        <v>217</v>
      </c>
      <c r="B10" s="17" t="s">
        <v>218</v>
      </c>
      <c r="C10" s="60" t="n">
        <v>530</v>
      </c>
      <c r="D10" s="17" t="s">
        <v>219</v>
      </c>
      <c r="E10" s="17" t="s">
        <v>220</v>
      </c>
      <c r="F10" s="14" t="s">
        <v>221</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78"/>
    <col collapsed="false" customWidth="true" hidden="false" outlineLevel="0" max="3" min="3" style="1" width="60"/>
  </cols>
  <sheetData>
    <row r="1" customFormat="false" ht="19.5" hidden="false" customHeight="true" outlineLevel="0" collapsed="false">
      <c r="A1" s="49" t="s">
        <v>222</v>
      </c>
      <c r="B1" s="49"/>
      <c r="C1" s="49"/>
    </row>
    <row r="3" customFormat="false" ht="30" hidden="false" customHeight="true" outlineLevel="0" collapsed="false">
      <c r="A3" s="11" t="s">
        <v>223</v>
      </c>
      <c r="B3" s="11" t="s">
        <v>224</v>
      </c>
      <c r="C3" s="11" t="s">
        <v>225</v>
      </c>
    </row>
    <row r="4" customFormat="false" ht="49.5" hidden="false" customHeight="true" outlineLevel="0" collapsed="false">
      <c r="A4" s="61" t="s">
        <v>226</v>
      </c>
      <c r="B4" s="62" t="s">
        <v>227</v>
      </c>
      <c r="C4" s="63" t="s">
        <v>228</v>
      </c>
    </row>
    <row r="5" customFormat="false" ht="49.5" hidden="false" customHeight="true" outlineLevel="0" collapsed="false">
      <c r="A5" s="61" t="s">
        <v>229</v>
      </c>
      <c r="B5" s="62" t="s">
        <v>230</v>
      </c>
      <c r="C5" s="63" t="s">
        <v>231</v>
      </c>
    </row>
    <row r="6" customFormat="false" ht="49.5" hidden="false" customHeight="true" outlineLevel="0" collapsed="false">
      <c r="A6" s="61" t="s">
        <v>232</v>
      </c>
      <c r="B6" s="62" t="s">
        <v>233</v>
      </c>
      <c r="C6" s="63" t="s">
        <v>234</v>
      </c>
    </row>
    <row r="7" customFormat="false" ht="49.5" hidden="false" customHeight="true" outlineLevel="0" collapsed="false">
      <c r="A7" s="61" t="s">
        <v>235</v>
      </c>
      <c r="B7" s="62" t="s">
        <v>236</v>
      </c>
      <c r="C7" s="63" t="s">
        <v>237</v>
      </c>
    </row>
    <row r="8" customFormat="false" ht="49.5" hidden="false" customHeight="true" outlineLevel="0" collapsed="false">
      <c r="A8" s="61" t="s">
        <v>238</v>
      </c>
      <c r="B8" s="62" t="s">
        <v>239</v>
      </c>
      <c r="C8" s="63" t="s">
        <v>240</v>
      </c>
    </row>
    <row r="9" customFormat="false" ht="49.5" hidden="false" customHeight="true" outlineLevel="0" collapsed="false">
      <c r="A9" s="61" t="s">
        <v>241</v>
      </c>
      <c r="B9" s="62" t="s">
        <v>242</v>
      </c>
      <c r="C9" s="62" t="s">
        <v>101</v>
      </c>
    </row>
    <row r="10" customFormat="false" ht="49.5" hidden="false" customHeight="true" outlineLevel="0" collapsed="false">
      <c r="A10" s="61" t="s">
        <v>243</v>
      </c>
      <c r="B10" s="62" t="s">
        <v>244</v>
      </c>
      <c r="C10" s="63" t="s">
        <v>245</v>
      </c>
    </row>
    <row r="11" customFormat="false" ht="49.5" hidden="false" customHeight="true" outlineLevel="0" collapsed="false">
      <c r="A11" s="61" t="s">
        <v>246</v>
      </c>
      <c r="B11" s="62" t="s">
        <v>247</v>
      </c>
      <c r="C11" s="63" t="s">
        <v>248</v>
      </c>
    </row>
    <row r="12" customFormat="false" ht="49.5" hidden="false" customHeight="true" outlineLevel="0" collapsed="false">
      <c r="A12" s="61" t="s">
        <v>249</v>
      </c>
      <c r="B12" s="62" t="s">
        <v>250</v>
      </c>
      <c r="C12" s="63" t="s">
        <v>251</v>
      </c>
    </row>
    <row r="13" customFormat="false" ht="49.5" hidden="false" customHeight="true" outlineLevel="0" collapsed="false">
      <c r="A13" s="61" t="s">
        <v>252</v>
      </c>
      <c r="B13" s="62" t="s">
        <v>253</v>
      </c>
      <c r="C13" s="63" t="s">
        <v>254</v>
      </c>
    </row>
    <row r="14" customFormat="false" ht="49.5" hidden="false" customHeight="true" outlineLevel="0" collapsed="false">
      <c r="A14" s="61" t="s">
        <v>255</v>
      </c>
      <c r="B14" s="62" t="s">
        <v>256</v>
      </c>
      <c r="C14" s="63" t="s">
        <v>257</v>
      </c>
    </row>
    <row r="15" customFormat="false" ht="49.5" hidden="false" customHeight="true" outlineLevel="0" collapsed="false">
      <c r="A15" s="61" t="s">
        <v>258</v>
      </c>
      <c r="B15" s="62" t="s">
        <v>259</v>
      </c>
      <c r="C15" s="62" t="s">
        <v>101</v>
      </c>
    </row>
  </sheetData>
  <mergeCells count="1">
    <mergeCell ref="A1:C1"/>
  </mergeCells>
  <hyperlinks>
    <hyperlink ref="C4" r:id="rId1" display="https://pubmed.ncbi.nlm.nih.gov/12183501/"/>
    <hyperlink ref="C5" r:id="rId2" display="https://journals.biologists.com/jeb/article/195/1/211/34200"/>
    <hyperlink ref="C6" r:id="rId3" display="https://pmc.ncbi.nlm.nih.gov/articles/PMC7674385/"/>
    <hyperlink ref="C7" r:id="rId4" display="https://medium.com/strava-engineering/improving-grade-adjusted-pace-b9a2a332a5dc"/>
    <hyperlink ref="C8" r:id="rId5" display="https://pmc.ncbi.nlm.nih.gov/articles/PMC4106190/"/>
    <hyperlink ref="C10" r:id="rId6" display="https://www.brokenarrowskyrace.com/"/>
    <hyperlink ref="C11" r:id="rId7" display="https://pubmed.ncbi.nlm.nih.gov/23346556/"/>
    <hyperlink ref="C12" r:id="rId8" display="https://pubmed.ncbi.nlm.nih.gov/3728780/"/>
    <hyperlink ref="C13" r:id="rId9" display="https://pubmed.ncbi.nlm.nih.gov/3628491/"/>
    <hyperlink ref="C14" r:id="rId10" display="https://onlinelibrary.wiley.com/doi/abs/10.1111/j.1748-1716.1989.tb08655.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2026-04-25T03:30:49Z</dcterms:created>
  <dc:creator>openpyxl</dc:creator>
  <dc:description/>
  <dc:language>en-US</dc:language>
  <cp:lastModifiedBy/>
  <dcterms:modified xsi:type="dcterms:W3CDTF">2026-04-27T01:13:06Z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
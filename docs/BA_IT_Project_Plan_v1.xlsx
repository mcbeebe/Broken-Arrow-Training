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13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Overview" sheetId="2" state="visible" r:id="rId4"/>
    <sheet name="Phases" sheetId="3" state="visible" r:id="rId5"/>
    <sheet name="Sprints" sheetId="4" state="visible" r:id="rId6"/>
    <sheet name="Preservation" sheetId="5" state="visible" r:id="rId7"/>
    <sheet name="User_Stories" sheetId="6" state="visible" r:id="rId8"/>
    <sheet name="Acceptance_Criteria" sheetId="7" state="visible" r:id="rId9"/>
    <sheet name="Tasks" sheetId="8" state="visible" r:id="rId10"/>
    <sheet name="QA_Checklist" sheetId="9" state="visible" r:id="rId11"/>
    <sheet name="Test_Matrix" sheetId="10" state="visible" r:id="rId12"/>
    <sheet name="Risk_Register" sheetId="11" state="visible" r:id="rId13"/>
    <sheet name="References" sheetId="12" state="visible" r:id="rId14"/>
    <sheet name="Glossary" sheetId="13" state="visible" r:id="rId1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<sst xmlns="http://schemas.openxmlformats.org/spreadsheetml/2006/main" count="2156" uniqueCount="1283">
  <si>
    <t xml:space="preserve">Broken Arrow Training App</t>
  </si>
  <si>
    <t xml:space="preserve">IT Project Plan v1.0 - Sprint Tracker</t>
  </si>
  <si>
    <t xml:space="preserve">Document Version</t>
  </si>
  <si>
    <t xml:space="preserve">1.0</t>
  </si>
  <si>
    <t xml:space="preserve">Created</t>
  </si>
  <si>
    <t xml:space="preserve">2026-04-20</t>
  </si>
  <si>
    <t xml:space="preserve">Authored By</t>
  </si>
  <si>
    <t xml:space="preserve">Mike (product) with Claude</t>
  </si>
  <si>
    <t xml:space="preserve">Planning Horizon</t>
  </si>
  <si>
    <t xml:space="preserve">6 months (26 weeks / 13 x 2-week sprints)</t>
  </si>
  <si>
    <t xml:space="preserve">Target Start</t>
  </si>
  <si>
    <t xml:space="preserve">2026-04-27</t>
  </si>
  <si>
    <t xml:space="preserve">Target End</t>
  </si>
  <si>
    <t xml:space="preserve">2026-10-25</t>
  </si>
  <si>
    <t xml:space="preserve">Scope</t>
  </si>
  <si>
    <t xml:space="preserve">4 gap engines (Terrain completion, MIM novel IP, Descent-Load, Altitude) + Foundation + Integration/Release</t>
  </si>
  <si>
    <t xml:space="preserve">Companion Doc</t>
  </si>
  <si>
    <t xml:space="preserve">docs/PROJECT_PLAN.md</t>
  </si>
  <si>
    <t xml:space="preserve">Strategic Inputs</t>
  </si>
  <si>
    <t xml:space="preserve">BA_Executive_Summary_v3.html, BA_Vector1_Science_v3.html, BA_Strategic_Plan_v3.html, BA_DataFlow_v2.html</t>
  </si>
  <si>
    <t xml:space="preserve">Sheet</t>
  </si>
  <si>
    <t xml:space="preserve">Contents</t>
  </si>
  <si>
    <t xml:space="preserve">Overview</t>
  </si>
  <si>
    <t xml:space="preserve">High-level phase summary with KPI counts (formula-driven)</t>
  </si>
  <si>
    <t xml:space="preserve">Phases</t>
  </si>
  <si>
    <t xml:space="preserve">6 phases with sprints and calendar windows</t>
  </si>
  <si>
    <t xml:space="preserve">Sprints</t>
  </si>
  <si>
    <t xml:space="preserve">13 sprints with goal, deliverables, owner, status</t>
  </si>
  <si>
    <t xml:space="preserve">User_Stories</t>
  </si>
  <si>
    <t xml:space="preserve">37 INVEST-form user stories with priority + points</t>
  </si>
  <si>
    <t xml:space="preserve">Acceptance_Criteria</t>
  </si>
  <si>
    <t xml:space="preserve">Gherkin (Given/When/Then) ACs per user story</t>
  </si>
  <si>
    <t xml:space="preserve">Tasks</t>
  </si>
  <si>
    <t xml:space="preserve">Claude Code engineering tasks with file paths per sprint</t>
  </si>
  <si>
    <t xml:space="preserve">QA_Checklist</t>
  </si>
  <si>
    <t xml:space="preserve">Sprint-specific QA items (science, perf, a11y, privacy, release)</t>
  </si>
  <si>
    <t xml:space="preserve">Test_Matrix</t>
  </si>
  <si>
    <t xml:space="preserve">Unit / integration / regression / E2E tests per sprint</t>
  </si>
  <si>
    <t xml:space="preserve">Risk_Register</t>
  </si>
  <si>
    <t xml:space="preserve">Plan-level + sprint-level risks with probability x impact</t>
  </si>
  <si>
    <t xml:space="preserve">References</t>
  </si>
  <si>
    <t xml:space="preserve">18 peer-reviewed citations with PMIDs</t>
  </si>
  <si>
    <t xml:space="preserve">Glossary</t>
  </si>
  <si>
    <t xml:space="preserve">24 term abbreviations</t>
  </si>
  <si>
    <t xml:space="preserve">Overview - counts by status and phase (formula-driven)</t>
  </si>
  <si>
    <t xml:space="preserve">Metric</t>
  </si>
  <si>
    <t xml:space="preserve">Count</t>
  </si>
  <si>
    <t xml:space="preserve">Planned</t>
  </si>
  <si>
    <t xml:space="preserve">In Progress</t>
  </si>
  <si>
    <t xml:space="preserve">Done</t>
  </si>
  <si>
    <t xml:space="preserve">Source</t>
  </si>
  <si>
    <t xml:space="preserve">Sprints total</t>
  </si>
  <si>
    <t xml:space="preserve">Sprints sheet column I</t>
  </si>
  <si>
    <t xml:space="preserve">Phases total</t>
  </si>
  <si>
    <t xml:space="preserve">-</t>
  </si>
  <si>
    <t xml:space="preserve">Phases sheet</t>
  </si>
  <si>
    <t xml:space="preserve">User stories total</t>
  </si>
  <si>
    <t xml:space="preserve">User_Stories sheet column G</t>
  </si>
  <si>
    <t xml:space="preserve">Tasks total</t>
  </si>
  <si>
    <t xml:space="preserve">Tasks sheet column F</t>
  </si>
  <si>
    <t xml:space="preserve">QA items total</t>
  </si>
  <si>
    <t xml:space="preserve">QA_Checklist sheet</t>
  </si>
  <si>
    <t xml:space="preserve">Test matrix rows</t>
  </si>
  <si>
    <t xml:space="preserve">Test_Matrix sheet</t>
  </si>
  <si>
    <t xml:space="preserve">Risks total</t>
  </si>
  <si>
    <t xml:space="preserve">Risk_Register sheet column H</t>
  </si>
  <si>
    <t xml:space="preserve">References total</t>
  </si>
  <si>
    <t xml:space="preserve">References sheet</t>
  </si>
  <si>
    <t xml:space="preserve">Glossary terms total</t>
  </si>
  <si>
    <t xml:space="preserve">Glossary sheet</t>
  </si>
  <si>
    <t xml:space="preserve">Sprints by phase (formula-driven)</t>
  </si>
  <si>
    <t xml:space="preserve">Phase ID</t>
  </si>
  <si>
    <t xml:space="preserve">Phase Name</t>
  </si>
  <si>
    <t xml:space="preserve">Sprint Count</t>
  </si>
  <si>
    <t xml:space="preserve">First Sprint</t>
  </si>
  <si>
    <t xml:space="preserve">Last Sprint</t>
  </si>
  <si>
    <t xml:space="preserve">Calendar Window</t>
  </si>
  <si>
    <t xml:space="preserve">P0</t>
  </si>
  <si>
    <t xml:space="preserve">Foundation</t>
  </si>
  <si>
    <t xml:space="preserve">2026-04-27 to 2026-05-10</t>
  </si>
  <si>
    <t xml:space="preserve">P1</t>
  </si>
  <si>
    <t xml:space="preserve">Terrain Engine</t>
  </si>
  <si>
    <t xml:space="preserve">2026-05-11 to 2026-06-21</t>
  </si>
  <si>
    <t xml:space="preserve">P2</t>
  </si>
  <si>
    <t xml:space="preserve">MIM (Novel IP)</t>
  </si>
  <si>
    <t xml:space="preserve">2026-06-22 to 2026-08-02</t>
  </si>
  <si>
    <t xml:space="preserve">P3</t>
  </si>
  <si>
    <t xml:space="preserve">Descent-Load</t>
  </si>
  <si>
    <t xml:space="preserve">2026-08-03 to 2026-08-30</t>
  </si>
  <si>
    <t xml:space="preserve">P4</t>
  </si>
  <si>
    <t xml:space="preserve">Altitude</t>
  </si>
  <si>
    <t xml:space="preserve">2026-08-31 to 2026-09-27</t>
  </si>
  <si>
    <t xml:space="preserve">P5</t>
  </si>
  <si>
    <t xml:space="preserve">Integration &amp; Release</t>
  </si>
  <si>
    <t xml:space="preserve">2026-09-28 to 2026-10-25</t>
  </si>
  <si>
    <t xml:space="preserve">Name</t>
  </si>
  <si>
    <t xml:space="preserve">Start</t>
  </si>
  <si>
    <t xml:space="preserve">End</t>
  </si>
  <si>
    <t xml:space="preserve">Description</t>
  </si>
  <si>
    <t xml:space="preserve">2026-05-10</t>
  </si>
  <si>
    <t xml:space="preserve">Cross-cutting scaffolding: engine module boundary, feature store, DEM adapter, evidence tiers, coverage gate</t>
  </si>
  <si>
    <t xml:space="preserve">2026-05-11</t>
  </si>
  <si>
    <t xml:space="preserve">2026-06-21</t>
  </si>
  <si>
    <t xml:space="preserve">GAP via Minetti 2002, DEM correction, vertical efficiency, UTMB/ITRA index</t>
  </si>
  <si>
    <t xml:space="preserve">2026-06-22</t>
  </si>
  <si>
    <t xml:space="preserve">2026-08-02</t>
  </si>
  <si>
    <t xml:space="preserve">Bayesian partial-pooled MIM with population priors, per-user personalisation, evidence-tier UI, methodology doc</t>
  </si>
  <si>
    <t xml:space="preserve">2026-08-03</t>
  </si>
  <si>
    <t xml:space="preserve">2026-08-30</t>
  </si>
  <si>
    <t xml:space="preserve">Eccentric-TRIMP (Vernillo 2017) and repeated-bout memory (Hyldahl 2017)</t>
  </si>
  <si>
    <t xml:space="preserve">2026-08-31</t>
  </si>
  <si>
    <t xml:space="preserve">2026-09-27</t>
  </si>
  <si>
    <t xml:space="preserve">Hypoxic dose, acclimatization sigmoid (Levine 1997), intensity dampening (West 2013), AMS advisory (Bailey 2021)</t>
  </si>
  <si>
    <t xml:space="preserve">2026-09-28</t>
  </si>
  <si>
    <t xml:space="preserve">Adaptive Plan Engine ensembles all 5 engines; LLM grounding; release hardening; v1.0.0</t>
  </si>
  <si>
    <t xml:space="preserve">Sprints (13 x 2-week, 2026-04-27 to 2026-10-25)</t>
  </si>
  <si>
    <t xml:space="preserve">#</t>
  </si>
  <si>
    <t xml:space="preserve">Phase</t>
  </si>
  <si>
    <t xml:space="preserve">Goal</t>
  </si>
  <si>
    <t xml:space="preserve">Key Deliverables</t>
  </si>
  <si>
    <t xml:space="preserve">Owner</t>
  </si>
  <si>
    <t xml:space="preserve">Status</t>
  </si>
  <si>
    <t xml:space="preserve">De-risk downstream sprints with scaffolding</t>
  </si>
  <si>
    <t xml:space="preserve">src/engines/ module; featureStore; DEM adapter; evidence tiers; coverage gate; ADR 0001 &amp; 0002</t>
  </si>
  <si>
    <t xml:space="preserve">Claude Code + Mike</t>
  </si>
  <si>
    <t xml:space="preserve">Terrain-A (GAP / Minetti)</t>
  </si>
  <si>
    <t xml:space="preserve">2026-05-24</t>
  </si>
  <si>
    <t xml:space="preserve">Grade-Adjusted Pace per Minetti 2002</t>
  </si>
  <si>
    <t xml:space="preserve">minetti.ts; gap.ts; ActivityCard GAP display</t>
  </si>
  <si>
    <t xml:space="preserve">Claude Code</t>
  </si>
  <si>
    <t xml:space="preserve">Terrain-B (DEM correction)</t>
  </si>
  <si>
    <t xml:space="preserve">2026-05-25</t>
  </si>
  <si>
    <t xml:space="preserve">2026-06-07</t>
  </si>
  <si>
    <t xml:space="preserve">Replace device elevation with DEM-snapped elevation</t>
  </si>
  <si>
    <t xml:space="preserve">dem.ts; usgs3DEP / srtm / asterGDEM adapters; tileCache; CF Worker proxy</t>
  </si>
  <si>
    <t xml:space="preserve">Terrain-C (VE + UTMB Index)</t>
  </si>
  <si>
    <t xml:space="preserve">2026-06-08</t>
  </si>
  <si>
    <t xml:space="preserve">Vertical efficiency + UTMB/ITRA indexes</t>
  </si>
  <si>
    <t xml:space="preserve">ve.ts; utmbIndex.ts; itraIndex.ts; Terrain dashboard card</t>
  </si>
  <si>
    <t xml:space="preserve">MIM-A (Priors + Bayes scaffold)</t>
  </si>
  <si>
    <t xml:space="preserve">2026-07-05</t>
  </si>
  <si>
    <t xml:space="preserve">Population priors + Bayesian posterior in shadow mode</t>
  </si>
  <si>
    <t xml:space="preserve">priors.json; bayes.ts; fit-mim-priors.ts; shadow-mode flag</t>
  </si>
  <si>
    <t xml:space="preserve">MIM-B (Personalisation loop)</t>
  </si>
  <si>
    <t xml:space="preserve">2026-07-06</t>
  </si>
  <si>
    <t xml:space="preserve">2026-07-19</t>
  </si>
  <si>
    <t xml:space="preserve">Soreness prompt + nightly posterior update, cohort flip</t>
  </si>
  <si>
    <t xml:space="preserve">SorenessPrompt; update-posteriors.py; learner.ts; cohort service</t>
  </si>
  <si>
    <t xml:space="preserve">MIM-C (Evidence-tier UI + methodology)</t>
  </si>
  <si>
    <t xml:space="preserve">2026-07-20</t>
  </si>
  <si>
    <t xml:space="preserve">Explainability UI + methodology doc + 100% rollout</t>
  </si>
  <si>
    <t xml:space="preserve">MIMEvidenceBadge.tsx; mim-methodology.md; canary runbook</t>
  </si>
  <si>
    <t xml:space="preserve">Descent-A (Eccentric-TRIMP)</t>
  </si>
  <si>
    <t xml:space="preserve">2026-08-16</t>
  </si>
  <si>
    <t xml:space="preserve">Eccentric dose per descent bucket</t>
  </si>
  <si>
    <t xml:space="preserve">eccentric.ts; TRIMPRecord extension; Eccentric load strip</t>
  </si>
  <si>
    <t xml:space="preserve">Descent-B (Repeated-bout memory)</t>
  </si>
  <si>
    <t xml:space="preserve">2026-08-17</t>
  </si>
  <si>
    <t xml:space="preserve">Protection factor for back-to-back bouts</t>
  </si>
  <si>
    <t xml:space="preserve">boutMemory.ts; readiness integration; ADR 0003</t>
  </si>
  <si>
    <t xml:space="preserve">Altitude-A (Dose + Sigmoid)</t>
  </si>
  <si>
    <t xml:space="preserve">2026-09-13</t>
  </si>
  <si>
    <t xml:space="preserve">Hypoxic dose accumulator + acclimatization sigmoid</t>
  </si>
  <si>
    <t xml:space="preserve">dose.ts; acclimatization.ts; AltitudeTripForm</t>
  </si>
  <si>
    <t xml:space="preserve">Altitude-B (Dampening + AMS)</t>
  </si>
  <si>
    <t xml:space="preserve">2026-09-14</t>
  </si>
  <si>
    <t xml:space="preserve">VO2max-loss dampening + AMS advisory</t>
  </si>
  <si>
    <t xml:space="preserve">dampening.ts; ams.ts; CoachSnapshot altitude</t>
  </si>
  <si>
    <t xml:space="preserve">Ensemble (Adaptive Plan Engine)</t>
  </si>
  <si>
    <t xml:space="preserve">2026-10-11</t>
  </si>
  <si>
    <t xml:space="preserve">Compose 5 engines into DailyPrescription + LLM grounding</t>
  </si>
  <si>
    <t xml:space="preserve">adaptive/index.ts; ADR 0004; coachGolden tests; Why-this-workout card</t>
  </si>
  <si>
    <t xml:space="preserve">Release hardening</t>
  </si>
  <si>
    <t xml:space="preserve">2026-10-12</t>
  </si>
  <si>
    <t xml:space="preserve">Performance, offline-first, a11y, release v1.0.0</t>
  </si>
  <si>
    <t xml:space="preserve">tinybench perf suite; axe-core CI; release runbook; CHANGELOG.md; v1.0.0 tag</t>
  </si>
  <si>
    <t xml:space="preserve">Preservation Matrix — shipped code ↔ plan decisions</t>
  </si>
  <si>
    <t xml:space="preserve">No shipped feature is silently dropped. Every row below names a surface in the shipped app and the decision the plan takes. Mirrors PROJECT_PLAN.md §4.4.</t>
  </si>
  <si>
    <t xml:space="preserve">Legend: ✅ Preserve = unchanged · 🔄 Extend = kept + additive props · 📦 Re-parent = kept, moved · ✂ Streamline = content consolidated · 🆕 Add = net-new · ❌ Deprecate = replaced (justified)</t>
  </si>
  <si>
    <t xml:space="preserve">Group</t>
  </si>
  <si>
    <t xml:space="preserve">Shipped surface</t>
  </si>
  <si>
    <t xml:space="preserve">Decision</t>
  </si>
  <si>
    <t xml:space="preserve">Sprint that touches</t>
  </si>
  <si>
    <t xml:space="preserve">File path</t>
  </si>
  <si>
    <t xml:space="preserve">Notes</t>
  </si>
  <si>
    <t xml:space="preserve">Summary tab</t>
  </si>
  <si>
    <t xml:space="preserve">TodayBriefing</t>
  </si>
  <si>
    <t xml:space="preserve">🔄 Extend</t>
  </si>
  <si>
    <t xml:space="preserve">S12</t>
  </si>
  <si>
    <t xml:space="preserve">src/components/TodayBriefing.tsx</t>
  </si>
  <si>
    <t xml:space="preserve">Riley hero card wraps it; 'Why' collapsible gains MIM + Altitude bullets</t>
  </si>
  <si>
    <t xml:space="preserve">VitalsGrid</t>
  </si>
  <si>
    <t xml:space="preserve">✅ Preserve</t>
  </si>
  <si>
    <t xml:space="preserve">—</t>
  </si>
  <si>
    <t xml:space="preserve">src/components/VitalsGrid.tsx</t>
  </si>
  <si>
    <t xml:space="preserve">HRV / RHR / Sleep / Body Battery with sparklines. No change.</t>
  </si>
  <si>
    <t xml:space="preserve">InjuryRiskAlerts</t>
  </si>
  <si>
    <t xml:space="preserve">S8, S11</t>
  </si>
  <si>
    <t xml:space="preserve">src/components/InjuryRiskAlerts.tsx</t>
  </si>
  <si>
    <t xml:space="preserve">Adds descent-load red-flag channel + AMS red-flag channel</t>
  </si>
  <si>
    <t xml:space="preserve">PerformanceSnapshot</t>
  </si>
  <si>
    <t xml:space="preserve">src/components/PerformanceSnapshot.tsx</t>
  </si>
  <si>
    <t xml:space="preserve">CTL / ATL / TSB / ACWR scale bars. Reads existing CoachSnapshot.</t>
  </si>
  <si>
    <t xml:space="preserve">TRIMPBreakdown</t>
  </si>
  <si>
    <t xml:space="preserve">S8</t>
  </si>
  <si>
    <t xml:space="preserve">src/components/TRIMPBreakdown.tsx</t>
  </si>
  <si>
    <t xml:space="preserve">New eccentricDose series stacked onto existing sport-type bars</t>
  </si>
  <si>
    <t xml:space="preserve">WhatChangedCard</t>
  </si>
  <si>
    <t xml:space="preserve">src/components/WhatChangedCard.tsx</t>
  </si>
  <si>
    <t xml:space="preserve">Narrative source switches to Adaptive Plan Engine output</t>
  </si>
  <si>
    <t xml:space="preserve">WeekAtAGlance</t>
  </si>
  <si>
    <t xml:space="preserve">src/components/WeekAtAGlance.tsx</t>
  </si>
  <si>
    <t xml:space="preserve">7 readiness dots. Unchanged.</t>
  </si>
  <si>
    <t xml:space="preserve">Riley hero card</t>
  </si>
  <si>
    <t xml:space="preserve">🆕 Add</t>
  </si>
  <si>
    <t xml:space="preserve">S1 (stub), S12 (real)</t>
  </si>
  <si>
    <t xml:space="preserve">src/components/RileyHeroCard.tsx (new)</t>
  </si>
  <si>
    <t xml:space="preserve">Wraps TodayBriefing; persona + synthesis + 'What's driving this' collapsible</t>
  </si>
  <si>
    <t xml:space="preserve">Plan tab</t>
  </si>
  <si>
    <t xml:space="preserve">PlanView</t>
  </si>
  <si>
    <t xml:space="preserve">✂ Streamline</t>
  </si>
  <si>
    <t xml:space="preserve">src/components/PlanView.tsx</t>
  </si>
  <si>
    <t xml:space="preserve">'This week, per Riley' narration card prepended above existing list</t>
  </si>
  <si>
    <t xml:space="preserve">WeekStrip</t>
  </si>
  <si>
    <t xml:space="preserve">src/components/WeekStrip.tsx</t>
  </si>
  <si>
    <t xml:space="preserve">M-T-W-T-F-S-S pill strip. Unchanged.</t>
  </si>
  <si>
    <t xml:space="preserve">WorkoutCard</t>
  </si>
  <si>
    <t xml:space="preserve">S2–S4, S5–S7, S11</t>
  </si>
  <si>
    <t xml:space="preserve">src/components/WorkoutCard.tsx</t>
  </si>
  <si>
    <t xml:space="preserve">Terrain / MIM / Altitude tier-chip slots added; existing layout preserved</t>
  </si>
  <si>
    <t xml:space="preserve">PlanCompliance</t>
  </si>
  <si>
    <t xml:space="preserve">src/components/PlanCompliance.tsx</t>
  </si>
  <si>
    <t xml:space="preserve">% complete card. Unchanged.</t>
  </si>
  <si>
    <t xml:space="preserve">NextWorkoutSummary</t>
  </si>
  <si>
    <t xml:space="preserve">src/components/NextWorkoutSummary.tsx</t>
  </si>
  <si>
    <t xml:space="preserve">Unchanged.</t>
  </si>
  <si>
    <t xml:space="preserve">Per-Riley narration card</t>
  </si>
  <si>
    <t xml:space="preserve">src/components/PlanNarrationCard.tsx (new)</t>
  </si>
  <si>
    <t xml:space="preserve">New card prepended above Plan list</t>
  </si>
  <si>
    <t xml:space="preserve">Stats tab</t>
  </si>
  <si>
    <t xml:space="preserve">CompliancePanel</t>
  </si>
  <si>
    <t xml:space="preserve">📦 Re-parent</t>
  </si>
  <si>
    <t xml:space="preserve">S1</t>
  </si>
  <si>
    <t xml:space="preserve">src/components/CompliancePanel.tsx</t>
  </si>
  <si>
    <t xml:space="preserve">Becomes Compliance sub-tab; no code changes</t>
  </si>
  <si>
    <t xml:space="preserve">ReadinessPanel</t>
  </si>
  <si>
    <t xml:space="preserve">src/components/ReadinessPanel.tsx</t>
  </si>
  <si>
    <t xml:space="preserve">Becomes Readiness sub-tab; no code changes</t>
  </si>
  <si>
    <t xml:space="preserve">PerformancePanel</t>
  </si>
  <si>
    <t xml:space="preserve">src/components/PerformancePanel.tsx</t>
  </si>
  <si>
    <t xml:space="preserve">Becomes Performance sub-tab; no code changes</t>
  </si>
  <si>
    <t xml:space="preserve">PerformanceChart</t>
  </si>
  <si>
    <t xml:space="preserve">S4, S12</t>
  </si>
  <si>
    <t xml:space="preserve">src/components/PerformanceChart.tsx</t>
  </si>
  <si>
    <t xml:space="preserve">Metric pills + race-day reference band + ACWR corridor added as optional props</t>
  </si>
  <si>
    <t xml:space="preserve">TimeWindowToggle</t>
  </si>
  <si>
    <t xml:space="preserve">src/components/TimeWindowToggle.tsx</t>
  </si>
  <si>
    <t xml:space="preserve">7d / 30d / 90d / All. Unchanged.</t>
  </si>
  <si>
    <t xml:space="preserve">PerformanceGlossary</t>
  </si>
  <si>
    <t xml:space="preserve">S7</t>
  </si>
  <si>
    <t xml:space="preserve">src/components/PerformanceGlossary.tsx</t>
  </si>
  <si>
    <t xml:space="preserve">Adds MIM + Altitude + Eccentric glossary rows</t>
  </si>
  <si>
    <t xml:space="preserve">StatCards</t>
  </si>
  <si>
    <t xml:space="preserve">src/components/StatCards.tsx</t>
  </si>
  <si>
    <t xml:space="preserve">4-card grid. Unchanged.</t>
  </si>
  <si>
    <t xml:space="preserve">Coach tab</t>
  </si>
  <si>
    <t xml:space="preserve">CoachChat</t>
  </si>
  <si>
    <t xml:space="preserve">src/components/CoachChat.tsx</t>
  </si>
  <si>
    <t xml:space="preserve">Chat surface, pending inferences. Shell untouched.</t>
  </si>
  <si>
    <t xml:space="preserve">CoachInsightCard</t>
  </si>
  <si>
    <t xml:space="preserve">S7, S11</t>
  </si>
  <si>
    <t xml:space="preserve">src/components/CoachInsightCard.tsx</t>
  </si>
  <si>
    <t xml:space="preserve">Citation chips + AMS advisory variant added</t>
  </si>
  <si>
    <t xml:space="preserve">CoachHistory</t>
  </si>
  <si>
    <t xml:space="preserve">src/components/CoachHistory.tsx</t>
  </si>
  <si>
    <t xml:space="preserve">History + minimize controls. Unchanged.</t>
  </si>
  <si>
    <t xml:space="preserve">CoachPersonaSelector</t>
  </si>
  <si>
    <t xml:space="preserve">src/components/CoachPersonaSelector.tsx</t>
  </si>
  <si>
    <t xml:space="preserve">Shared with Settings. Unchanged.</t>
  </si>
  <si>
    <t xml:space="preserve">Riley avatar coin in header</t>
  </si>
  <si>
    <t xml:space="preserve">src/components/RileyAvatar.tsx (new)</t>
  </si>
  <si>
    <t xml:space="preserve">Visual-only; no new data</t>
  </si>
  <si>
    <t xml:space="preserve">Settings tab</t>
  </si>
  <si>
    <t xml:space="preserve">ProfileCard</t>
  </si>
  <si>
    <t xml:space="preserve">src/components/ProfileCard.tsx</t>
  </si>
  <si>
    <t xml:space="preserve">4-button grid (Riley/Sam/Max/Zen). Unchanged.</t>
  </si>
  <si>
    <t xml:space="preserve">AboutMeEditor</t>
  </si>
  <si>
    <t xml:space="preserve">src/components/AboutMeEditor.tsx</t>
  </si>
  <si>
    <t xml:space="preserve">Free-text field consumed by every Riley reply. Unchanged.</t>
  </si>
  <si>
    <t xml:space="preserve">HRZoneEditor</t>
  </si>
  <si>
    <t xml:space="preserve">src/components/HRZoneEditor.tsx</t>
  </si>
  <si>
    <t xml:space="preserve">Max HR + 5 zone bands + Garmin LTHR sync. Unchanged.</t>
  </si>
  <si>
    <t xml:space="preserve">IntegrationsRow</t>
  </si>
  <si>
    <t xml:space="preserve">S10</t>
  </si>
  <si>
    <t xml:space="preserve">src/components/IntegrationsRow.tsx</t>
  </si>
  <si>
    <t xml:space="preserve">Zwift row label upgraded from 'optional' to 'recommended for altitude prep'</t>
  </si>
  <si>
    <t xml:space="preserve">CacheDiagnostics</t>
  </si>
  <si>
    <t xml:space="preserve">src/components/CacheDiagnostics.tsx</t>
  </si>
  <si>
    <t xml:space="preserve">PrivacyRow</t>
  </si>
  <si>
    <t xml:space="preserve">src/components/PrivacyRow.tsx</t>
  </si>
  <si>
    <t xml:space="preserve">Data export / delete. Unchanged.</t>
  </si>
  <si>
    <t xml:space="preserve">Trips + Altitude Wizard</t>
  </si>
  <si>
    <t xml:space="preserve">S11</t>
  </si>
  <si>
    <t xml:space="preserve">src/components/TripsSection.tsx, AltitudeWizard.tsx (new)</t>
  </si>
  <si>
    <t xml:space="preserve">Wizard trigger + trip auto-detect from calendar</t>
  </si>
  <si>
    <t xml:space="preserve">Methodology link → Screen 12</t>
  </si>
  <si>
    <t xml:space="preserve">S13</t>
  </si>
  <si>
    <t xml:space="preserve">src/components/MethodologyView.tsx (new)</t>
  </si>
  <si>
    <t xml:space="preserve">'How the 5 engines work' explainer</t>
  </si>
  <si>
    <t xml:space="preserve">Shared primitives</t>
  </si>
  <si>
    <t xml:space="preserve">ReadinessBadge / TierChip / SparklineMini / MetricCard / ScaleBar / Navbar</t>
  </si>
  <si>
    <t xml:space="preserve">src/components/*.tsx (primitives)</t>
  </si>
  <si>
    <t xml:space="preserve">All primitives ship unchanged</t>
  </si>
  <si>
    <t xml:space="preserve">Shared utils</t>
  </si>
  <si>
    <t xml:space="preserve">readiness.ts (ATE + Plews + Meeusen)</t>
  </si>
  <si>
    <t xml:space="preserve">src/utils/readiness.ts</t>
  </si>
  <si>
    <t xml:space="preserve">Already T1/T2 sourced. Untouched.</t>
  </si>
  <si>
    <t xml:space="preserve">trimp.ts (Banister TRIMP + static MIM_MATRIX + DOMS_CARRY)</t>
  </si>
  <si>
    <t xml:space="preserve">S5, S8</t>
  </si>
  <si>
    <t xml:space="preserve">src/utils/trimp.ts</t>
  </si>
  <si>
    <t xml:space="preserve">MIM_MATRIX gains Bayesian posterior path; DOMS_CARRY extended by eccentric-TRIMP. Static matrix kept as cold-start fallback.</t>
  </si>
  <si>
    <t xml:space="preserve">garmin.ts (athlete-scoped storage, tz fetch)</t>
  </si>
  <si>
    <t xml:space="preserve">src/utils/garmin.ts</t>
  </si>
  <si>
    <t xml:space="preserve">types/index.ts (732 LOC)</t>
  </si>
  <si>
    <t xml:space="preserve">every sprint</t>
  </si>
  <si>
    <t xml:space="preserve">src/types/index.ts</t>
  </si>
  <si>
    <t xml:space="preserve">Only additive: new engine types appended. No existing types renamed or removed.</t>
  </si>
  <si>
    <t xml:space="preserve">Shared tests</t>
  </si>
  <si>
    <t xml:space="preserve">12 existing test files</t>
  </si>
  <si>
    <t xml:space="preserve">every sprint (DoD gate)</t>
  </si>
  <si>
    <t xml:space="preserve">src/__tests__/</t>
  </si>
  <si>
    <t xml:space="preserve">trimp / readiness / zones / targets / compliance / matching / performance / plan-data / raceProjection / coachAnalyticsSnapshot / coachInsightCache / coachPingTriggers must stay green at every DoD</t>
  </si>
  <si>
    <t xml:space="preserve">Backend</t>
  </si>
  <si>
    <t xml:space="preserve">api/coach/ (Python serverless)</t>
  </si>
  <si>
    <t xml:space="preserve">api/coach/</t>
  </si>
  <si>
    <t xml:space="preserve">Adds engine-state payload; prompt template stays backward-compatible</t>
  </si>
  <si>
    <t xml:space="preserve">api/garmin/ · api/apple/ · api/auth/</t>
  </si>
  <si>
    <t xml:space="preserve">api/garmin/, api/apple/, api/auth/</t>
  </si>
  <si>
    <t xml:space="preserve">worker/strava-token-exchange.ts (Cloudflare)</t>
  </si>
  <si>
    <t xml:space="preserve">worker/strava-token-exchange.ts</t>
  </si>
  <si>
    <t xml:space="preserve">Infra</t>
  </si>
  <si>
    <t xml:space="preserve">ios/BrokenArrowHealth/ (SwiftUI + HealthKit)</t>
  </si>
  <si>
    <t xml:space="preserve">ios/BrokenArrowHealth/</t>
  </si>
  <si>
    <t xml:space="preserve">No iOS work in this plan.</t>
  </si>
  <si>
    <t xml:space="preserve">deploy.yml (GitHub Actions)</t>
  </si>
  <si>
    <t xml:space="preserve">.github/workflows/deploy.yml</t>
  </si>
  <si>
    <t xml:space="preserve">Coverage gate raised to 80/80/80/80; no other job changes</t>
  </si>
  <si>
    <t xml:space="preserve">Summary</t>
  </si>
  <si>
    <t xml:space="preserve">Preserve</t>
  </si>
  <si>
    <t xml:space="preserve">Extend</t>
  </si>
  <si>
    <t xml:space="preserve">Re-parent</t>
  </si>
  <si>
    <t xml:space="preserve">Streamline</t>
  </si>
  <si>
    <t xml:space="preserve">Add</t>
  </si>
  <si>
    <t xml:space="preserve">Deprecate</t>
  </si>
  <si>
    <t xml:space="preserve">TOTAL</t>
  </si>
  <si>
    <t xml:space="preserve">Key commitments</t>
  </si>
  <si>
    <t xml:space="preserve">· 0 deprecations — no shipped component is being replaced.</t>
  </si>
  <si>
    <t xml:space="preserve">· All 12 shipped test files must stay green at every sprint's Definition-of-Done.</t>
  </si>
  <si>
    <t xml:space="preserve">· Static MIM_MATRIX retained as cold-start fallback alongside new Bayesian posterior.</t>
  </si>
  <si>
    <t xml:space="preserve">· CoachSnapshot type additions are append-only — no existing fields renamed or removed.</t>
  </si>
  <si>
    <t xml:space="preserve">· All 5 Settings rows (Profile / CoachPersona / AboutMe / HRZone / Integrations / CacheDiagnostics / Privacy) ship as-is; plan only ADDS Trips + Methodology.</t>
  </si>
  <si>
    <t xml:space="preserve">User Stories (INVEST form)</t>
  </si>
  <si>
    <t xml:space="preserve">ID</t>
  </si>
  <si>
    <t xml:space="preserve">Sprint</t>
  </si>
  <si>
    <t xml:space="preserve">Persona</t>
  </si>
  <si>
    <t xml:space="preserve">Story (As a X, I want Y so that Z)</t>
  </si>
  <si>
    <t xml:space="preserve">Priority</t>
  </si>
  <si>
    <t xml:space="preserve">Points</t>
  </si>
  <si>
    <t xml:space="preserve">US-S1-01</t>
  </si>
  <si>
    <t xml:space="preserve">Developer</t>
  </si>
  <si>
    <t xml:space="preserve">Single src/engines/ module boundary so engine code stays separable from UI</t>
  </si>
  <si>
    <t xml:space="preserve">Must</t>
  </si>
  <si>
    <t xml:space="preserve">US-S1-02</t>
  </si>
  <si>
    <t xml:space="preserve">Typed FeatureStore interface so every engine consumes a consistent shape</t>
  </si>
  <si>
    <t xml:space="preserve">US-S1-03</t>
  </si>
  <si>
    <t xml:space="preserve">DEM adapter interface so DEM sources can be swapped without touching engines</t>
  </si>
  <si>
    <t xml:space="preserve">US-S1-04</t>
  </si>
  <si>
    <t xml:space="preserve">Evidence-tier system so every engine coefficient can be tagged T1-T4</t>
  </si>
  <si>
    <t xml:space="preserve">US-S1-05</t>
  </si>
  <si>
    <t xml:space="preserve">Coverage gating enforced in CI</t>
  </si>
  <si>
    <t xml:space="preserve">US-S2-01</t>
  </si>
  <si>
    <t xml:space="preserve">Athlete</t>
  </si>
  <si>
    <t xml:space="preserve">Trail pace normalised to flat-equivalent GAP</t>
  </si>
  <si>
    <t xml:space="preserve">US-S2-02</t>
  </si>
  <si>
    <t xml:space="preserve">GAP shown next to raw pace in activity view</t>
  </si>
  <si>
    <t xml:space="preserve">US-S3-01</t>
  </si>
  <si>
    <t xml:space="preserve">Elevation gain matches reality (+/-3%), not barometer drift</t>
  </si>
  <si>
    <t xml:space="preserve">US-S3-02</t>
  </si>
  <si>
    <t xml:space="preserve">DEM tile caching so hot routes don't re-fetch</t>
  </si>
  <si>
    <t xml:space="preserve">Should</t>
  </si>
  <si>
    <t xml:space="preserve">US-S4-01</t>
  </si>
  <si>
    <t xml:space="preserve">Vertical Efficiency tracked so power-hiking improvement is visible</t>
  </si>
  <si>
    <t xml:space="preserve">US-S4-02</t>
  </si>
  <si>
    <t xml:space="preserve">UTMB Index estimate based on recent races</t>
  </si>
  <si>
    <t xml:space="preserve">US-S5-01</t>
  </si>
  <si>
    <t xml:space="preserve">Data-aware dev</t>
  </si>
  <si>
    <t xml:space="preserve">Population priors fit from fleet data</t>
  </si>
  <si>
    <t xml:space="preserve">US-S5-02</t>
  </si>
  <si>
    <t xml:space="preserve">Bayesian partial-pooling posterior computation</t>
  </si>
  <si>
    <t xml:space="preserve">US-S5-03</t>
  </si>
  <si>
    <t xml:space="preserve">PM</t>
  </si>
  <si>
    <t xml:space="preserve">MIM shadow-mode alongside legacy, no UI change yet</t>
  </si>
  <si>
    <t xml:space="preserve">US-S6-01</t>
  </si>
  <si>
    <t xml:space="preserve">Post-session soreness prompt after strength/descent days</t>
  </si>
  <si>
    <t xml:space="preserve">US-S6-02</t>
  </si>
  <si>
    <t xml:space="preserve">MIM personalised after ~20 same-sport sessions</t>
  </si>
  <si>
    <t xml:space="preserve">US-S6-03</t>
  </si>
  <si>
    <t xml:space="preserve">Cohort rollout service for feature-flag variants</t>
  </si>
  <si>
    <t xml:space="preserve">US-S7-01</t>
  </si>
  <si>
    <t xml:space="preserve">Each MIM coefficient shows evidence tier and source</t>
  </si>
  <si>
    <t xml:space="preserve">US-S7-02</t>
  </si>
  <si>
    <t xml:space="preserve">MIM methodology doc (OpenSim -&gt; GRADE -&gt; partial pooling)</t>
  </si>
  <si>
    <t xml:space="preserve">US-S7-03</t>
  </si>
  <si>
    <t xml:space="preserve">All cohorts flipped to active after evidence-tier UI ships</t>
  </si>
  <si>
    <t xml:space="preserve">US-S8-01</t>
  </si>
  <si>
    <t xml:space="preserve">Eccentric load quantified per activity (descent buckets)</t>
  </si>
  <si>
    <t xml:space="preserve">US-S8-02</t>
  </si>
  <si>
    <t xml:space="preserve">Eccentric TRIMP added to daily total but tagged separately</t>
  </si>
  <si>
    <t xml:space="preserve">US-S9-01</t>
  </si>
  <si>
    <t xml:space="preserve">Second downhill bout counted as less damaging (repeated-bout)</t>
  </si>
  <si>
    <t xml:space="preserve">US-S9-02</t>
  </si>
  <si>
    <t xml:space="preserve">engines.descent.boutMemory in CoachSnapshot</t>
  </si>
  <si>
    <t xml:space="preserve">US-S9-03</t>
  </si>
  <si>
    <t xml:space="preserve">Readiness raises RED earlier on back-to-back eccentric days</t>
  </si>
  <si>
    <t xml:space="preserve">US-S10-01</t>
  </si>
  <si>
    <t xml:space="preserve">Time-at-altitude tracked for acclimatization state</t>
  </si>
  <si>
    <t xml:space="preserve">US-S10-02</t>
  </si>
  <si>
    <t xml:space="preserve">Acclimatization state shown on 0-100 scale</t>
  </si>
  <si>
    <t xml:space="preserve">US-S11-01</t>
  </si>
  <si>
    <t xml:space="preserve">Prescribed paces slowed at altitude</t>
  </si>
  <si>
    <t xml:space="preserve">US-S11-02</t>
  </si>
  <si>
    <t xml:space="preserve">AMS advisory on rapid ascent to high altitude</t>
  </si>
  <si>
    <t xml:space="preserve">US-S11-03</t>
  </si>
  <si>
    <t xml:space="preserve">engines.altitude fully plugged into CoachSnapshot</t>
  </si>
  <si>
    <t xml:space="preserve">US-S12-01</t>
  </si>
  <si>
    <t xml:space="preserve">One clear daily prescription respecting all 5 engines</t>
  </si>
  <si>
    <t xml:space="preserve">US-S12-02</t>
  </si>
  <si>
    <t xml:space="preserve">Why-this-workout card showing per-engine contributions</t>
  </si>
  <si>
    <t xml:space="preserve">US-S12-03</t>
  </si>
  <si>
    <t xml:space="preserve">LLM coach grounded strictly on CoachSnapshot.engines</t>
  </si>
  <si>
    <t xml:space="preserve">US-S13-01</t>
  </si>
  <si>
    <t xml:space="preserve">User</t>
  </si>
  <si>
    <t xml:space="preserve">App loads fast with long history (p95 &lt; 250 ms)</t>
  </si>
  <si>
    <t xml:space="preserve">US-S13-02</t>
  </si>
  <si>
    <t xml:space="preserve">Graceful offline/poor-connectivity degradation</t>
  </si>
  <si>
    <t xml:space="preserve">US-S13-03</t>
  </si>
  <si>
    <t xml:space="preserve">Accessibility (axe-core clean, colour-blind safe)</t>
  </si>
  <si>
    <t xml:space="preserve">US-S13-04</t>
  </si>
  <si>
    <t xml:space="preserve">Full release checklist + v1.0.0 tag</t>
  </si>
  <si>
    <t xml:space="preserve">Acceptance Criteria (Gherkin: Given / When / Then)</t>
  </si>
  <si>
    <t xml:space="preserve">Story ID</t>
  </si>
  <si>
    <t xml:space="preserve">AC #</t>
  </si>
  <si>
    <t xml:space="preserve">Given</t>
  </si>
  <si>
    <t xml:space="preserve">When</t>
  </si>
  <si>
    <t xml:space="preserve">Then</t>
  </si>
  <si>
    <t xml:space="preserve">repo state at sprint start</t>
  </si>
  <si>
    <t xml:space="preserve">I open src/engines/index.ts</t>
  </si>
  <si>
    <t xml:space="preserve">it re-exports readiness, mim, terrain, descent, altitude namespaces</t>
  </si>
  <si>
    <t xml:space="preserve">src/engines/readiness/ exists</t>
  </si>
  <si>
    <t xml:space="preserve">I compare to existing src/utils/readiness.ts</t>
  </si>
  <si>
    <t xml:space="preserve">existing symbols re-exported with no behaviour change (trimp.test.ts, readiness.test.ts still green)</t>
  </si>
  <si>
    <t xml:space="preserve">a fresh FeatureStore</t>
  </si>
  <si>
    <t xml:space="preserve">I write+read daily/activity/athlete/elevationTile/hypoxicExposure/eccentricBucket records</t>
  </si>
  <si>
    <t xml:space="preserve">round-trip is lossless</t>
  </si>
  <si>
    <t xml:space="preserve">Open-Elevation adapter mock</t>
  </si>
  <si>
    <t xml:space="preserve">DEMAdapter.lookup(lat, lon) is called</t>
  </si>
  <si>
    <t xml:space="preserve">it returns an ElevationSample within expected shape</t>
  </si>
  <si>
    <t xml:space="preserve">an EvidenceTier union in code</t>
  </si>
  <si>
    <t xml:space="preserve">I wrap a MIM matrix entry in TieredValue&lt;number&gt;</t>
  </si>
  <si>
    <t xml:space="preserve">tier and citation are visible at the call site</t>
  </si>
  <si>
    <t xml:space="preserve">vitest.config.ts with coverage thresholds at 80</t>
  </si>
  <si>
    <t xml:space="preserve">I drop below 80% in a PR</t>
  </si>
  <si>
    <t xml:space="preserve">CI fails the coverage step</t>
  </si>
  <si>
    <t xml:space="preserve">an activity with altitude + time streams</t>
  </si>
  <si>
    <t xml:space="preserve">computeGAP(activity) runs</t>
  </si>
  <si>
    <t xml:space="preserve">GAP &gt;= pace for net-uphill, &lt;= pace for net-downhill (+/-2% vs hand-computed fixture)</t>
  </si>
  <si>
    <t xml:space="preserve">a flat activity (|grade|&lt;1%)</t>
  </si>
  <si>
    <t xml:space="preserve">computeGAP runs</t>
  </si>
  <si>
    <t xml:space="preserve">GAP ~= pace within 0.5%</t>
  </si>
  <si>
    <t xml:space="preserve">Minetti 2002 polynomial in code</t>
  </si>
  <si>
    <t xml:space="preserve">a reviewer reads minetti.ts header</t>
  </si>
  <si>
    <t xml:space="preserve">the PMID 12235031 citation is present</t>
  </si>
  <si>
    <t xml:space="preserve">an activity with GAP computable</t>
  </si>
  <si>
    <t xml:space="preserve">the Activity card renders</t>
  </si>
  <si>
    <t xml:space="preserve">GAP is shown next to raw pace</t>
  </si>
  <si>
    <t xml:space="preserve">an activity without altitude stream</t>
  </si>
  <si>
    <t xml:space="preserve">GAP field shows '-' (not 0 or NaN)</t>
  </si>
  <si>
    <t xml:space="preserve">an activity with lat/lon stream and DEM coverage</t>
  </si>
  <si>
    <t xml:space="preserve">correctElevation(activity) runs</t>
  </si>
  <si>
    <t xml:space="preserve">gain is within 3% of a known-good reference</t>
  </si>
  <si>
    <t xml:space="preserve">no DEM coverage available</t>
  </si>
  <si>
    <t xml:space="preserve">correction is attempted</t>
  </si>
  <si>
    <t xml:space="preserve">original stream returned with correctionApplied=false</t>
  </si>
  <si>
    <t xml:space="preserve">tile cache with LRU and TTL</t>
  </si>
  <si>
    <t xml:space="preserve">cache capacity is exceeded</t>
  </si>
  <si>
    <t xml:space="preserve">oldest tiles evicted in LRU order</t>
  </si>
  <si>
    <t xml:space="preserve">an activity + athlete</t>
  </si>
  <si>
    <t xml:space="preserve">computeVE(activity, athlete) runs</t>
  </si>
  <si>
    <t xml:space="preserve">it returns {vamMPerHour, crossoverGrade, runRatio}</t>
  </si>
  <si>
    <t xml:space="preserve">Giovanelli 2016 crossover</t>
  </si>
  <si>
    <t xml:space="preserve">crossover grade is computed</t>
  </si>
  <si>
    <t xml:space="preserve">value lies within 15.8deg-22deg range</t>
  </si>
  <si>
    <t xml:space="preserve">a set of recent races</t>
  </si>
  <si>
    <t xml:space="preserve">estimateUTMBIndex(athlete, races) runs</t>
  </si>
  <si>
    <t xml:space="preserve">result includes {value, confidence, method, citations}</t>
  </si>
  <si>
    <t xml:space="preserve">&gt;=30 athletes x 12 weeks of data</t>
  </si>
  <si>
    <t xml:space="preserve">fit-mim-priors.ts runs</t>
  </si>
  <si>
    <t xml:space="preserve">priors.json is produced with per-sport mu/sigma/tier/citation/sampleSize</t>
  </si>
  <si>
    <t xml:space="preserve">an athlete with zero observations</t>
  </si>
  <si>
    <t xml:space="preserve">computeMIMPosterior runs</t>
  </si>
  <si>
    <t xml:space="preserve">posterior equals prior</t>
  </si>
  <si>
    <t xml:space="preserve">an athlete with &gt;30 observations</t>
  </si>
  <si>
    <t xml:space="preserve">posterior mean within 10% of raw athlete mean</t>
  </si>
  <si>
    <t xml:space="preserve">ENGINES_MIM_BAYES=shadow flag</t>
  </si>
  <si>
    <t xml:space="preserve">daily compute runs</t>
  </si>
  <si>
    <t xml:space="preserve">delta (new-legacy) logged, no UI/prescription change</t>
  </si>
  <si>
    <t xml:space="preserve">a completed strength_lower or descent-heavy activity yesterday</t>
  </si>
  <si>
    <t xml:space="preserve">the athlete opens the app today</t>
  </si>
  <si>
    <t xml:space="preserve">a 1-10 soreness prompt is shown (skippable)</t>
  </si>
  <si>
    <t xml:space="preserve">nightly posterior update job</t>
  </si>
  <si>
    <t xml:space="preserve">cron trigger fires</t>
  </si>
  <si>
    <t xml:space="preserve">posterior is re-computed idempotently</t>
  </si>
  <si>
    <t xml:space="preserve">&gt;=20 observations for a sport</t>
  </si>
  <si>
    <t xml:space="preserve">MIM posterior is read</t>
  </si>
  <si>
    <t xml:space="preserve">tier upgrades from T3 to T2 in the UI</t>
  </si>
  <si>
    <t xml:space="preserve">cohort config in config/cohorts.json</t>
  </si>
  <si>
    <t xml:space="preserve">FeatureFlagService.variant('mim-bayes', athleteId) is called</t>
  </si>
  <si>
    <t xml:space="preserve">it returns 'shadow' | 'active' | 'legacy'</t>
  </si>
  <si>
    <t xml:space="preserve">a MIM coefficient in the UI</t>
  </si>
  <si>
    <t xml:space="preserve">the athlete hovers/taps</t>
  </si>
  <si>
    <t xml:space="preserve">{tier, citation, sampleSize, posteriorSD} is surfaced</t>
  </si>
  <si>
    <t xml:space="preserve">evidence tiers</t>
  </si>
  <si>
    <t xml:space="preserve">a badge renders</t>
  </si>
  <si>
    <t xml:space="preserve">T1=green, T2=blue, T3=amber, T4=grey with non-colour icon</t>
  </si>
  <si>
    <t xml:space="preserve">MIM methodology doc</t>
  </si>
  <si>
    <t xml:space="preserve">a new contributor reads it</t>
  </si>
  <si>
    <t xml:space="preserve">they can find inputs, priors, shrinkage, per-user learning, tier rules, worked example</t>
  </si>
  <si>
    <t xml:space="preserve">evidence-tier UI shipped</t>
  </si>
  <si>
    <t xml:space="preserve">canary rollout is enabled</t>
  </si>
  <si>
    <t xml:space="preserve">10%-&gt;50%-&gt;100% over 48h with rollback runbook</t>
  </si>
  <si>
    <t xml:space="preserve">an activity with descent segments</t>
  </si>
  <si>
    <t xml:space="preserve">computeEccentricTRIMP(activity) runs</t>
  </si>
  <si>
    <t xml:space="preserve">it returns {eccTRIMP, buckets:{mild,moderate,severe}} per Vernillo 2017</t>
  </si>
  <si>
    <t xml:space="preserve">a TRIMPRecord</t>
  </si>
  <si>
    <t xml:space="preserve">eccentric fields are read</t>
  </si>
  <si>
    <t xml:space="preserve">eccentricTRIMP and eccentricBuckets present; legacy paths default to 0</t>
  </si>
  <si>
    <t xml:space="preserve">two severe-descent bouts within 10 days</t>
  </si>
  <si>
    <t xml:space="preserve">bout_n_dose is computed for the second bout</t>
  </si>
  <si>
    <t xml:space="preserve">dose is discounted by the decay factor</t>
  </si>
  <si>
    <t xml:space="preserve">descent engine outputs</t>
  </si>
  <si>
    <t xml:space="preserve">CoachSnapshot is assembled</t>
  </si>
  <si>
    <t xml:space="preserve">engines.descent.boutMemory = {lastSevereDate,lastModerateDate,protectionFactor}</t>
  </si>
  <si>
    <t xml:space="preserve">eccTRIMP last 48h &gt; athlete p75</t>
  </si>
  <si>
    <t xml:space="preserve">readiness threshold is evaluated (flag on)</t>
  </si>
  <si>
    <t xml:space="preserve">RED threshold tightens by 0.1 points and is logged</t>
  </si>
  <si>
    <t xml:space="preserve">exposure records</t>
  </si>
  <si>
    <t xml:space="preserve">computeHypoxicDose(exposures) runs</t>
  </si>
  <si>
    <t xml:space="preserve">returns {kmHoursAbove1500m, kmHoursAbove2500m}</t>
  </si>
  <si>
    <t xml:space="preserve">~2 weeks at 2000-2500m with sufficient dose</t>
  </si>
  <si>
    <t xml:space="preserve">acclimatizationIndex is computed</t>
  </si>
  <si>
    <t xml:space="preserve">index approaches 50 asymptotically</t>
  </si>
  <si>
    <t xml:space="preserve">athlete returns to sea level</t>
  </si>
  <si>
    <t xml:space="preserve">index is recomputed over 2-3 weeks</t>
  </si>
  <si>
    <t xml:space="preserve">index decays monotonically toward baseline</t>
  </si>
  <si>
    <t xml:space="preserve">prescription + altitude + acclimatization index</t>
  </si>
  <si>
    <t xml:space="preserve">dampenPrescription runs</t>
  </si>
  <si>
    <t xml:space="preserve">paces slowed per West 2013 (~1% VO2max per 100m &gt;1500m), never sped up</t>
  </si>
  <si>
    <t xml:space="preserve">ascentRate&gt;500m/day AND currentAlt&gt;3000m</t>
  </si>
  <si>
    <t xml:space="preserve">Bailey 2021 consensus is evaluated</t>
  </si>
  <si>
    <t xml:space="preserve">AMS advisory surfaced as informational (no workout block)</t>
  </si>
  <si>
    <t xml:space="preserve">altitude engine outputs</t>
  </si>
  <si>
    <t xml:space="preserve">engines.altitude = {currentAltM, acclimatizationIndex, intensityDampening, amsAdvisory}</t>
  </si>
  <si>
    <t xml:space="preserve">athlete + date with 5 engines populated</t>
  </si>
  <si>
    <t xml:space="preserve">adaptivePlan runs</t>
  </si>
  <si>
    <t xml:space="preserve">returns {sessionType, duration, intensityZones, intensityCeiling, caveats, explanations}</t>
  </si>
  <si>
    <t xml:space="preserve">a daily prescription</t>
  </si>
  <si>
    <t xml:space="preserve">the dashboard renders</t>
  </si>
  <si>
    <t xml:space="preserve">Why-this-workout card shows one explanation per engine with tier badge</t>
  </si>
  <si>
    <t xml:space="preserve">10 fixture days</t>
  </si>
  <si>
    <t xml:space="preserve">LLM coach output is generated</t>
  </si>
  <si>
    <t xml:space="preserve">engine values cited match snapshot exactly (goldens pass)</t>
  </si>
  <si>
    <t xml:space="preserve">a 2-year-history athlete</t>
  </si>
  <si>
    <t xml:space="preserve">p95 &lt; 250 ms</t>
  </si>
  <si>
    <t xml:space="preserve">poor connectivity</t>
  </si>
  <si>
    <t xml:space="preserve">app opens</t>
  </si>
  <si>
    <t xml:space="preserve">last CoachSnapshot cached; stale&gt;24h banner shown; no blank UI on API failure</t>
  </si>
  <si>
    <t xml:space="preserve">axe-core CI job</t>
  </si>
  <si>
    <t xml:space="preserve">the build runs</t>
  </si>
  <si>
    <t xml:space="preserve">zero critical accessibility violations</t>
  </si>
  <si>
    <t xml:space="preserve">end of Sprint 13</t>
  </si>
  <si>
    <t xml:space="preserve">release checklist completed</t>
  </si>
  <si>
    <t xml:space="preserve">v1.0.0 tag pushed; CHANGELOG synthesised; deploy workflow green</t>
  </si>
  <si>
    <t xml:space="preserve">Engineering Tasks (for Claude Code, with file paths)</t>
  </si>
  <si>
    <t xml:space="preserve">Task ID</t>
  </si>
  <si>
    <t xml:space="preserve">Area</t>
  </si>
  <si>
    <t xml:space="preserve">File Path(s)</t>
  </si>
  <si>
    <t xml:space="preserve">T1.1</t>
  </si>
  <si>
    <t xml:space="preserve">Arch</t>
  </si>
  <si>
    <t xml:space="preserve">Create src/engines/ subfolders + index.ts re-exports</t>
  </si>
  <si>
    <t xml:space="preserve">src/engines/{readiness,mim,terrain,descent,altitude}/</t>
  </si>
  <si>
    <t xml:space="preserve">T1.2</t>
  </si>
  <si>
    <t xml:space="preserve">Types</t>
  </si>
  <si>
    <t xml:space="preserve">FeatureStore interface + InMemoryFeatureStore</t>
  </si>
  <si>
    <t xml:space="preserve">src/engines/featureStore.ts</t>
  </si>
  <si>
    <t xml:space="preserve">T1.3</t>
  </si>
  <si>
    <t xml:space="preserve">Adapter</t>
  </si>
  <si>
    <t xml:space="preserve">DEMAdapter interface + Open-Elevation adapter + stubs</t>
  </si>
  <si>
    <t xml:space="preserve">src/engines/adapters/*.ts</t>
  </si>
  <si>
    <t xml:space="preserve">T1.4</t>
  </si>
  <si>
    <t xml:space="preserve">EvidenceTier + TieredValue&lt;T&gt;</t>
  </si>
  <si>
    <t xml:space="preserve">src/engines/evidence.ts</t>
  </si>
  <si>
    <t xml:space="preserve">T1.5</t>
  </si>
  <si>
    <t xml:space="preserve">CI</t>
  </si>
  <si>
    <t xml:space="preserve">Coverage thresholds 80/80/80/80 + enforce on CI</t>
  </si>
  <si>
    <t xml:space="preserve">vitest.config.ts + .github/workflows/deploy.yml</t>
  </si>
  <si>
    <t xml:space="preserve">T1.6</t>
  </si>
  <si>
    <t xml:space="preserve">Docs</t>
  </si>
  <si>
    <t xml:space="preserve">ADR 0001 engine layout + ADR 0002 evidence tiers</t>
  </si>
  <si>
    <t xml:space="preserve">docs/adr/0001-engine-module-layout.md, docs/adr/0002-evidence-tiers.md</t>
  </si>
  <si>
    <t xml:space="preserve">T1.7</t>
  </si>
  <si>
    <t xml:space="preserve">Obs</t>
  </si>
  <si>
    <t xml:space="preserve">Structured logging via debug with ba:engine:* prefix</t>
  </si>
  <si>
    <t xml:space="preserve">src/engines/*</t>
  </si>
  <si>
    <t xml:space="preserve">T1.8</t>
  </si>
  <si>
    <t xml:space="preserve">README Quickstart + PR template</t>
  </si>
  <si>
    <t xml:space="preserve">README.md, .github/PULL_REQUEST_TEMPLATE.md</t>
  </si>
  <si>
    <t xml:space="preserve">T2.1</t>
  </si>
  <si>
    <t xml:space="preserve">Engine</t>
  </si>
  <si>
    <t xml:space="preserve">Minetti cost-of-locomotion polynomial (grade -45..+45%)</t>
  </si>
  <si>
    <t xml:space="preserve">src/engines/terrain/minetti.ts</t>
  </si>
  <si>
    <t xml:space="preserve">T2.2</t>
  </si>
  <si>
    <t xml:space="preserve">computeGAP(activity) with guardrails</t>
  </si>
  <si>
    <t xml:space="preserve">src/engines/terrain/gap.ts</t>
  </si>
  <si>
    <t xml:space="preserve">T2.3</t>
  </si>
  <si>
    <t xml:space="preserve">UI</t>
  </si>
  <si>
    <t xml:space="preserve">Render GAP next to pace on ActivityCard</t>
  </si>
  <si>
    <t xml:space="preserve">src/components/ActivityCard.tsx</t>
  </si>
  <si>
    <t xml:space="preserve">T2.4</t>
  </si>
  <si>
    <t xml:space="preserve">Snapshot</t>
  </si>
  <si>
    <t xml:space="preserve">Populate CoachSnapshot.engines.terrain.gap</t>
  </si>
  <si>
    <t xml:space="preserve">src/utils/coachSnapshot.ts</t>
  </si>
  <si>
    <t xml:space="preserve">T2.5</t>
  </si>
  <si>
    <t xml:space="preserve">Fixture</t>
  </si>
  <si>
    <t xml:space="preserve">Broken Arrow 26K activity fixture JSON</t>
  </si>
  <si>
    <t xml:space="preserve">src/__tests__/fixtures/broken-arrow-26k.json</t>
  </si>
  <si>
    <t xml:space="preserve">T3.1</t>
  </si>
  <si>
    <t xml:space="preserve">correctElevation orchestrator + region dispatch</t>
  </si>
  <si>
    <t xml:space="preserve">src/engines/terrain/dem.ts</t>
  </si>
  <si>
    <t xml:space="preserve">T3.2</t>
  </si>
  <si>
    <t xml:space="preserve">USGS 3DEP, SRTM, ASTER GDEM adapters</t>
  </si>
  <si>
    <t xml:space="preserve">src/engines/adapters/{usgs3DEP,srtm,asterGDEM}.ts</t>
  </si>
  <si>
    <t xml:space="preserve">T3.3</t>
  </si>
  <si>
    <t xml:space="preserve">Perf</t>
  </si>
  <si>
    <t xml:space="preserve">LRU tile cache + TTL</t>
  </si>
  <si>
    <t xml:space="preserve">src/engines/terrain/tileCache.ts</t>
  </si>
  <si>
    <t xml:space="preserve">T3.4</t>
  </si>
  <si>
    <t xml:space="preserve">Cloudflare Worker DEM proxy (CORS)</t>
  </si>
  <si>
    <t xml:space="preserve">worker/dem-proxy.ts</t>
  </si>
  <si>
    <t xml:space="preserve">T3.5</t>
  </si>
  <si>
    <t xml:space="preserve">Integration</t>
  </si>
  <si>
    <t xml:space="preserve">GAP prefers DEM-corrected stream</t>
  </si>
  <si>
    <t xml:space="preserve">T4.1</t>
  </si>
  <si>
    <t xml:space="preserve">Vertical Efficiency + Giovanelli crossover table</t>
  </si>
  <si>
    <t xml:space="preserve">src/engines/terrain/{ve,giovanelli}.ts</t>
  </si>
  <si>
    <t xml:space="preserve">T4.2</t>
  </si>
  <si>
    <t xml:space="preserve">UTMB Index estimator</t>
  </si>
  <si>
    <t xml:space="preserve">src/engines/terrain/utmbIndex.ts</t>
  </si>
  <si>
    <t xml:space="preserve">T4.3</t>
  </si>
  <si>
    <t xml:space="preserve">ITRA Performance Index fallback</t>
  </si>
  <si>
    <t xml:space="preserve">src/engines/terrain/itraIndex.ts</t>
  </si>
  <si>
    <t xml:space="preserve">T4.4</t>
  </si>
  <si>
    <t xml:space="preserve">Terrain card on DashboardView</t>
  </si>
  <si>
    <t xml:space="preserve">src/components/DashboardView.tsx</t>
  </si>
  <si>
    <t xml:space="preserve">T4.5</t>
  </si>
  <si>
    <t xml:space="preserve">README race-ready metrics section</t>
  </si>
  <si>
    <t xml:space="preserve">README.md</t>
  </si>
  <si>
    <t xml:space="preserve">T5.1</t>
  </si>
  <si>
    <t xml:space="preserve">Data</t>
  </si>
  <si>
    <t xml:space="preserve">scripts/fit-mim-priors.ts (hashed-athlete fleet fit)</t>
  </si>
  <si>
    <t xml:space="preserve">scripts/fit-mim-priors.ts</t>
  </si>
  <si>
    <t xml:space="preserve">T5.2</t>
  </si>
  <si>
    <t xml:space="preserve">priors.json output artifact</t>
  </si>
  <si>
    <t xml:space="preserve">src/engines/mim/priors.json</t>
  </si>
  <si>
    <t xml:space="preserve">T5.3</t>
  </si>
  <si>
    <t xml:space="preserve">Bayesian posterior (Efron-Morris / Gelman BDA3)</t>
  </si>
  <si>
    <t xml:space="preserve">src/engines/mim/bayes.ts</t>
  </si>
  <si>
    <t xml:space="preserve">T5.4</t>
  </si>
  <si>
    <t xml:space="preserve">Routing</t>
  </si>
  <si>
    <t xml:space="preserve">computeMIM dispatches legacy vs Bayes by flag</t>
  </si>
  <si>
    <t xml:space="preserve">src/engines/mim/index.ts</t>
  </si>
  <si>
    <t xml:space="preserve">T5.5</t>
  </si>
  <si>
    <t xml:space="preserve">Shadow-mode delta logging (10% sample)</t>
  </si>
  <si>
    <t xml:space="preserve">src/engines/mim/shadow.ts</t>
  </si>
  <si>
    <t xml:space="preserve">T5.6</t>
  </si>
  <si>
    <t xml:space="preserve">docs/notebooks/mim-priors.md worked example</t>
  </si>
  <si>
    <t xml:space="preserve">docs/notebooks/mim-priors.md</t>
  </si>
  <si>
    <t xml:space="preserve">T6.1</t>
  </si>
  <si>
    <t xml:space="preserve">SorenessPrompt component + hook</t>
  </si>
  <si>
    <t xml:space="preserve">src/components/SorenessPrompt.tsx</t>
  </si>
  <si>
    <t xml:space="preserve">T6.2</t>
  </si>
  <si>
    <t xml:space="preserve">API</t>
  </si>
  <si>
    <t xml:space="preserve">Vercel cron: update-posteriors.py (chunked, idempotent)</t>
  </si>
  <si>
    <t xml:space="preserve">api/mim/update-posteriors.py</t>
  </si>
  <si>
    <t xml:space="preserve">T6.3</t>
  </si>
  <si>
    <t xml:space="preserve">Observation -&gt; posterior update learner</t>
  </si>
  <si>
    <t xml:space="preserve">src/engines/mim/learner.ts</t>
  </si>
  <si>
    <t xml:space="preserve">T6.4</t>
  </si>
  <si>
    <t xml:space="preserve">FeatureFlagService cohort variants</t>
  </si>
  <si>
    <t xml:space="preserve">src/services/featureFlags.ts, config/cohorts.json</t>
  </si>
  <si>
    <t xml:space="preserve">T6.5</t>
  </si>
  <si>
    <t xml:space="preserve">Release</t>
  </si>
  <si>
    <t xml:space="preserve">Flip 5 opt-in athletes to active variant</t>
  </si>
  <si>
    <t xml:space="preserve">config/cohorts.json</t>
  </si>
  <si>
    <t xml:space="preserve">T7.1</t>
  </si>
  <si>
    <t xml:space="preserve">MIMEvidenceBadge with aria + icon + colour</t>
  </si>
  <si>
    <t xml:space="preserve">src/components/MIMEvidenceBadge.tsx</t>
  </si>
  <si>
    <t xml:space="preserve">T7.2</t>
  </si>
  <si>
    <t xml:space="preserve">Extend MIMPosterior with tier/citation/sampleSize/posteriorSD</t>
  </si>
  <si>
    <t xml:space="preserve">src/engines/mim/types.ts</t>
  </si>
  <si>
    <t xml:space="preserve">T7.3</t>
  </si>
  <si>
    <t xml:space="preserve">MIM methodology doc (~2000 words, worked example)</t>
  </si>
  <si>
    <t xml:space="preserve">docs/mim-methodology.md</t>
  </si>
  <si>
    <t xml:space="preserve">T7.4</t>
  </si>
  <si>
    <t xml:space="preserve">Canary 10%-&gt;50%-&gt;100% over 48h</t>
  </si>
  <si>
    <t xml:space="preserve">T7.5</t>
  </si>
  <si>
    <t xml:space="preserve">Rollback runbook</t>
  </si>
  <si>
    <t xml:space="preserve">docs/runbooks/mim-rollback.md</t>
  </si>
  <si>
    <t xml:space="preserve">T8.1</t>
  </si>
  <si>
    <t xml:space="preserve">Eccentric TRIMP with Vernillo 2017 buckets</t>
  </si>
  <si>
    <t xml:space="preserve">src/engines/descent/eccentric.ts</t>
  </si>
  <si>
    <t xml:space="preserve">T8.2</t>
  </si>
  <si>
    <t xml:space="preserve">Extend TRIMPRecord with eccentric fields</t>
  </si>
  <si>
    <t xml:space="preserve">T8.3</t>
  </si>
  <si>
    <t xml:space="preserve">CTL/ATL/TSB optional eccentric upweight</t>
  </si>
  <si>
    <t xml:space="preserve">T8.4</t>
  </si>
  <si>
    <t xml:space="preserve">Eccentric load strip on Load tab</t>
  </si>
  <si>
    <t xml:space="preserve">src/components/LoadTab.tsx</t>
  </si>
  <si>
    <t xml:space="preserve">T8.5</t>
  </si>
  <si>
    <t xml:space="preserve">engines.descent.eccentricTRIMP in CoachSnapshot</t>
  </si>
  <si>
    <t xml:space="preserve">T9.1</t>
  </si>
  <si>
    <t xml:space="preserve">Repeated-bout decay (Hyldahl 2017)</t>
  </si>
  <si>
    <t xml:space="preserve">src/engines/descent/boutMemory.ts</t>
  </si>
  <si>
    <t xml:space="preserve">T9.2</t>
  </si>
  <si>
    <t xml:space="preserve">Descent engine composition</t>
  </si>
  <si>
    <t xml:space="preserve">src/engines/descent/index.ts</t>
  </si>
  <si>
    <t xml:space="preserve">T9.3</t>
  </si>
  <si>
    <t xml:space="preserve">Readiness accepts EccentricSignal (flagged)</t>
  </si>
  <si>
    <t xml:space="preserve">src/engines/readiness/integration.ts</t>
  </si>
  <si>
    <t xml:space="preserve">T9.4</t>
  </si>
  <si>
    <t xml:space="preserve">ADR 0003 descent engine</t>
  </si>
  <si>
    <t xml:space="preserve">docs/adr/0003-descent-engine.md</t>
  </si>
  <si>
    <t xml:space="preserve">T10.1</t>
  </si>
  <si>
    <t xml:space="preserve">Hypoxic dose accumulator</t>
  </si>
  <si>
    <t xml:space="preserve">src/engines/altitude/dose.ts</t>
  </si>
  <si>
    <t xml:space="preserve">T10.2</t>
  </si>
  <si>
    <t xml:space="preserve">Acclimatization sigmoid (Levine 1997 / Chapman 2014)</t>
  </si>
  <si>
    <t xml:space="preserve">src/engines/altitude/acclimatization.ts</t>
  </si>
  <si>
    <t xml:space="preserve">T10.3</t>
  </si>
  <si>
    <t xml:space="preserve">AltitudeTripForm manual entry</t>
  </si>
  <si>
    <t xml:space="preserve">src/components/AltitudeTripForm.tsx</t>
  </si>
  <si>
    <t xml:space="preserve">T10.4</t>
  </si>
  <si>
    <t xml:space="preserve">iOS</t>
  </si>
  <si>
    <t xml:space="preserve">HealthKit altitude exporter stub</t>
  </si>
  <si>
    <t xml:space="preserve">ios/BrokenArrowHealth/AltitudeExporter.swift</t>
  </si>
  <si>
    <t xml:space="preserve">T10.5</t>
  </si>
  <si>
    <t xml:space="preserve">Acclimatization strip on dashboard</t>
  </si>
  <si>
    <t xml:space="preserve">T11.1</t>
  </si>
  <si>
    <t xml:space="preserve">VO2max-loss dampening (West 2013)</t>
  </si>
  <si>
    <t xml:space="preserve">src/engines/altitude/dampening.ts</t>
  </si>
  <si>
    <t xml:space="preserve">T11.2</t>
  </si>
  <si>
    <t xml:space="preserve">AMS advisory (Bailey 2021 consensus)</t>
  </si>
  <si>
    <t xml:space="preserve">src/engines/altitude/ams.ts</t>
  </si>
  <si>
    <t xml:space="preserve">T11.3</t>
  </si>
  <si>
    <t xml:space="preserve">engines.altitude full object in CoachSnapshot</t>
  </si>
  <si>
    <t xml:space="preserve">T11.4</t>
  </si>
  <si>
    <t xml:space="preserve">Legal</t>
  </si>
  <si>
    <t xml:space="preserve">AMS advisory copy review (informational, not medical)</t>
  </si>
  <si>
    <t xml:space="preserve">src/components/AmsAdvisory.tsx</t>
  </si>
  <si>
    <t xml:space="preserve">T12.1</t>
  </si>
  <si>
    <t xml:space="preserve">adaptivePlan(athlete, date) ensemble</t>
  </si>
  <si>
    <t xml:space="preserve">src/engines/adaptive/index.ts</t>
  </si>
  <si>
    <t xml:space="preserve">T12.2</t>
  </si>
  <si>
    <t xml:space="preserve">ADR 0004 adaptive-plan priority rules</t>
  </si>
  <si>
    <t xml:space="preserve">docs/adr/0004-adaptive-plan.md</t>
  </si>
  <si>
    <t xml:space="preserve">T12.3</t>
  </si>
  <si>
    <t xml:space="preserve">Why-this-workout card</t>
  </si>
  <si>
    <t xml:space="preserve">src/components/WhyThisWorkout.tsx</t>
  </si>
  <si>
    <t xml:space="preserve">T12.4</t>
  </si>
  <si>
    <t xml:space="preserve">LLM</t>
  </si>
  <si>
    <t xml:space="preserve">Coach prompt rewrite + golden tests</t>
  </si>
  <si>
    <t xml:space="preserve">src/prompts/coach.ts, src/__tests__/coachGolden.test.ts</t>
  </si>
  <si>
    <t xml:space="preserve">T13.1</t>
  </si>
  <si>
    <t xml:space="preserve">tinybench suite + memoisation</t>
  </si>
  <si>
    <t xml:space="preserve">bench/*.bench.ts</t>
  </si>
  <si>
    <t xml:space="preserve">T13.2</t>
  </si>
  <si>
    <t xml:space="preserve">Offline</t>
  </si>
  <si>
    <t xml:space="preserve">Service-worker + CoachSnapshot cache + stale banner</t>
  </si>
  <si>
    <t xml:space="preserve">src/sw.ts, src/components/StaleBanner.tsx</t>
  </si>
  <si>
    <t xml:space="preserve">T13.3</t>
  </si>
  <si>
    <t xml:space="preserve">a11y</t>
  </si>
  <si>
    <t xml:space="preserve">axe-core CI job + fix violations</t>
  </si>
  <si>
    <t xml:space="preserve">.github/workflows/a11y.yml</t>
  </si>
  <si>
    <t xml:space="preserve">T13.4</t>
  </si>
  <si>
    <t xml:space="preserve">Release runbook v1 + CHANGELOG synthesis</t>
  </si>
  <si>
    <t xml:space="preserve">docs/runbooks/release-v1.md, CHANGELOG.md</t>
  </si>
  <si>
    <t xml:space="preserve">T13.5</t>
  </si>
  <si>
    <t xml:space="preserve">Version bump to 1.0.0 and tag v1.0.0</t>
  </si>
  <si>
    <t xml:space="preserve">package.json + git tag</t>
  </si>
  <si>
    <t xml:space="preserve">QA/QC Checklist (per sprint)</t>
  </si>
  <si>
    <t xml:space="preserve">Item</t>
  </si>
  <si>
    <t xml:space="preserve">npm ci &amp;&amp; npm run lint &amp;&amp; npm test green locally and on CI</t>
  </si>
  <si>
    <t xml:space="preserve">Open</t>
  </si>
  <si>
    <t xml:space="preserve">Coverage</t>
  </si>
  <si>
    <t xml:space="preserve">&gt;=80% on new src/engines/</t>
  </si>
  <si>
    <t xml:space="preserve">Regression</t>
  </si>
  <si>
    <t xml:space="preserve">All existing 12 test files unchanged</t>
  </si>
  <si>
    <t xml:space="preserve">ADR 0001 and 0002 reviewed</t>
  </si>
  <si>
    <t xml:space="preserve">UX</t>
  </si>
  <si>
    <t xml:space="preserve">No user-facing change (smoke: readiness still renders)</t>
  </si>
  <si>
    <t xml:space="preserve">git tag v0.1.0 on merge</t>
  </si>
  <si>
    <t xml:space="preserve">Science</t>
  </si>
  <si>
    <t xml:space="preserve">Minetti polynomial uses published coefficients with PMID 12235031 comment</t>
  </si>
  <si>
    <t xml:space="preserve">Real-world fixture (Broken Arrow 26K) included</t>
  </si>
  <si>
    <t xml:space="preserve">GAP label + tooltip citing Minetti 2002</t>
  </si>
  <si>
    <t xml:space="preserve">Safety</t>
  </si>
  <si>
    <t xml:space="preserve">No negative GAP, NaN, or Infinity; runtime assertions</t>
  </si>
  <si>
    <t xml:space="preserve">GAP on 7,200-sample activity &lt; 50 ms</t>
  </si>
  <si>
    <t xml:space="preserve">Mock HTTP for every adapter path</t>
  </si>
  <si>
    <t xml:space="preserve">Cache</t>
  </si>
  <si>
    <t xml:space="preserve">LRU eviction and TTL verified</t>
  </si>
  <si>
    <t xml:space="preserve">Region</t>
  </si>
  <si>
    <t xml:space="preserve">US-&gt;3DEP, non-US 60S-60N-&gt;SRTM, polar-&gt;ASTER, fallback-&gt;Open-Elevation</t>
  </si>
  <si>
    <t xml:space="preserve">Every correction logs {activityId, gainBefore, gainAfter, pctDelta, source}</t>
  </si>
  <si>
    <t xml:space="preserve">Failure</t>
  </si>
  <si>
    <t xml:space="preserve">500/timeout/malformed payloads tested</t>
  </si>
  <si>
    <t xml:space="preserve">Giovanelli 2016 crossover cited (PMID 27116915)</t>
  </si>
  <si>
    <t xml:space="preserve">UTMB/ITRA validated on 3 published athlete profiles</t>
  </si>
  <si>
    <t xml:space="preserve">VE trend uses 4-week rolling window</t>
  </si>
  <si>
    <t xml:space="preserve">Privacy</t>
  </si>
  <si>
    <t xml:space="preserve">No PII leaks in ITRA fallback</t>
  </si>
  <si>
    <t xml:space="preserve">engines.terrain.ve available in coach prompt</t>
  </si>
  <si>
    <t xml:space="preserve">Priors notebook reproducible (seed + sample sizes recorded)</t>
  </si>
  <si>
    <t xml:space="preserve">Math</t>
  </si>
  <si>
    <t xml:space="preserve">Shrinkage monotonicity tested on synthetic fleets</t>
  </si>
  <si>
    <t xml:space="preserve">Flag defaults OFF in production</t>
  </si>
  <si>
    <t xml:space="preserve">Priors use hashed athlete IDs; no PII</t>
  </si>
  <si>
    <t xml:space="preserve">Shadow delta sampled to 10% of days</t>
  </si>
  <si>
    <t xml:space="preserve">Soreness prompt tested on mobile and desktop</t>
  </si>
  <si>
    <t xml:space="preserve">Cron</t>
  </si>
  <si>
    <t xml:space="preserve">update-posteriors idempotent (re-run -&gt; identical output)</t>
  </si>
  <si>
    <t xml:space="preserve">TZ</t>
  </si>
  <si>
    <t xml:space="preserve">Soreness observations aligned with athlete tz</t>
  </si>
  <si>
    <t xml:space="preserve">Manual dry-run before cohort flip</t>
  </si>
  <si>
    <t xml:space="preserve">Rollback</t>
  </si>
  <si>
    <t xml:space="preserve">Flag=shadow restores S5 state</t>
  </si>
  <si>
    <t xml:space="preserve">Content</t>
  </si>
  <si>
    <t xml:space="preserve">Tooltip content human-cross-checked vs source papers</t>
  </si>
  <si>
    <t xml:space="preserve">Keyboard-reachable tooltips; colour-blind-safe badges (icon+colour)</t>
  </si>
  <si>
    <t xml:space="preserve">Review</t>
  </si>
  <si>
    <t xml:space="preserve">Methodology doc peer-reviewed (or T4-flagged otherwise)</t>
  </si>
  <si>
    <t xml:space="preserve">Runbook</t>
  </si>
  <si>
    <t xml:space="preserve">Rollback performed in staging</t>
  </si>
  <si>
    <t xml:space="preserve">Canary 10/50/100 over 48h</t>
  </si>
  <si>
    <t xml:space="preserve">Vernillo 2017 bucket boundaries cited exactly (PMID 28497285)</t>
  </si>
  <si>
    <t xml:space="preserve">Pace-penalty monotonically increasing with |grade|</t>
  </si>
  <si>
    <t xml:space="preserve">trimp.test.ts unchanged for flat activities</t>
  </si>
  <si>
    <t xml:space="preserve">BA 26K -&gt; eccTRIMP &gt; 0; flat 10K -&gt; eccTRIMP = 0</t>
  </si>
  <si>
    <t xml:space="preserve">Units</t>
  </si>
  <si>
    <t xml:space="preserve">Eccentric TRIMP printed with Banister TRIMP precision</t>
  </si>
  <si>
    <t xml:space="preserve">Hyldahl 2017 half-life default (10d, PMID 28457071)</t>
  </si>
  <si>
    <t xml:space="preserve">Flag</t>
  </si>
  <si>
    <t xml:space="preserve">Readiness nudge behind feature flag</t>
  </si>
  <si>
    <t xml:space="preserve">Rule</t>
  </si>
  <si>
    <t xml:space="preserve">Severity-matched protection only</t>
  </si>
  <si>
    <t xml:space="preserve">Stability</t>
  </si>
  <si>
    <t xml:space="preserve">CTL/ATL/TSB numerically stable</t>
  </si>
  <si>
    <t xml:space="preserve">Eccentric carry-over chip explains nudge to athlete</t>
  </si>
  <si>
    <t xml:space="preserve">Levine 1997 + Chapman 2014 cited in sigmoid source</t>
  </si>
  <si>
    <t xml:space="preserve">Sea-level decay curve tested</t>
  </si>
  <si>
    <t xml:space="preserve">Edge</t>
  </si>
  <si>
    <t xml:space="preserve">Altitude-native athlete baseline handled</t>
  </si>
  <si>
    <t xml:space="preserve">Exposure timestamps tz-safe</t>
  </si>
  <si>
    <t xml:space="preserve">Manual altitude-trip entry first-class</t>
  </si>
  <si>
    <t xml:space="preserve">West 2013 VO2max-loss curve plotted vs published data</t>
  </si>
  <si>
    <t xml:space="preserve">Dampening is one-way (never sped up)</t>
  </si>
  <si>
    <t xml:space="preserve">AMS advisory copy legally reviewed ('advisory, not medical')</t>
  </si>
  <si>
    <t xml:space="preserve">No auto-cancellation of workouts</t>
  </si>
  <si>
    <t xml:space="preserve">Personal</t>
  </si>
  <si>
    <t xml:space="preserve">Dampening shrunk by acclimatizationIndex/100 for altitude-natives</t>
  </si>
  <si>
    <t xml:space="preserve">Precedence</t>
  </si>
  <si>
    <t xml:space="preserve">Rule precedence explicit; no ambiguity</t>
  </si>
  <si>
    <t xml:space="preserve">No rule up-prescribes beyond readiness ceiling</t>
  </si>
  <si>
    <t xml:space="preserve">Golden</t>
  </si>
  <si>
    <t xml:space="preserve">10 scenario goldens (hard after green, rest after red, altitude-travel, etc.)</t>
  </si>
  <si>
    <t xml:space="preserve">Blind review 10 coach outputs &gt;= 9/10 pass</t>
  </si>
  <si>
    <t xml:space="preserve">ADR 0004 merged</t>
  </si>
  <si>
    <t xml:space="preserve">p95 daily compute &lt; 250 ms; queries &gt; 100 ms indexed/memoised</t>
  </si>
  <si>
    <t xml:space="preserve">CoachSnapshot cached; banner when stale &gt; 24h</t>
  </si>
  <si>
    <t xml:space="preserve">axe-core zero criticals; Lighthouse &gt;= 90 on all axes</t>
  </si>
  <si>
    <t xml:space="preserve">Load</t>
  </si>
  <si>
    <t xml:space="preserve">500 concurrent athletes adaptive plan in &lt; 2 s total</t>
  </si>
  <si>
    <t xml:space="preserve">No PII in logs; T4 items reviewed</t>
  </si>
  <si>
    <t xml:space="preserve">package.json 1.0.0; git tag v1.0.0; deploy workflow green</t>
  </si>
  <si>
    <t xml:space="preserve">Test Matrix (Unit / Integration / Regression / Golden / E2E / Perf / a11y)</t>
  </si>
  <si>
    <t xml:space="preserve">Layer</t>
  </si>
  <si>
    <t xml:space="preserve">File / Suite</t>
  </si>
  <si>
    <t xml:space="preserve">What it asserts</t>
  </si>
  <si>
    <t xml:space="preserve">Unit</t>
  </si>
  <si>
    <t xml:space="preserve">featureStore.test.ts</t>
  </si>
  <si>
    <t xml:space="preserve">round-trip, overwrite, time-range query</t>
  </si>
  <si>
    <t xml:space="preserve">evidence.test.ts</t>
  </si>
  <si>
    <t xml:space="preserve">tier ordering, citation string invariant</t>
  </si>
  <si>
    <t xml:space="preserve">demAdapter.openElevation.test.ts</t>
  </si>
  <si>
    <t xml:space="preserve">HTTP mock 200/404/timeout</t>
  </si>
  <si>
    <t xml:space="preserve">existing 12 test files</t>
  </si>
  <si>
    <t xml:space="preserve">all still green after refactor</t>
  </si>
  <si>
    <t xml:space="preserve">minetti.test.ts</t>
  </si>
  <si>
    <t xml:space="preserve">10 grade points vs published table</t>
  </si>
  <si>
    <t xml:space="preserve">gap.test.ts</t>
  </si>
  <si>
    <t xml:space="preserve">6 fixtures inc flat, up5, up10, down5, rolling, bad-data</t>
  </si>
  <si>
    <t xml:space="preserve">gap.perf.test.ts</t>
  </si>
  <si>
    <t xml:space="preserve">7,200-sample activity &lt; 50 ms</t>
  </si>
  <si>
    <t xml:space="preserve">terrain.integration.test.ts</t>
  </si>
  <si>
    <t xml:space="preserve">GAP populated into CoachSnapshot</t>
  </si>
  <si>
    <t xml:space="preserve">E2E</t>
  </si>
  <si>
    <t xml:space="preserve">Playwright smoke</t>
  </si>
  <si>
    <t xml:space="preserve">Activity card renders GAP label</t>
  </si>
  <si>
    <t xml:space="preserve">tileCache.test.ts</t>
  </si>
  <si>
    <t xml:space="preserve">LRU eviction + TTL expiry</t>
  </si>
  <si>
    <t xml:space="preserve">dem.region.test.ts</t>
  </si>
  <si>
    <t xml:space="preserve">region dispatch table</t>
  </si>
  <si>
    <t xml:space="preserve">usgs3DEP.test.ts</t>
  </si>
  <si>
    <t xml:space="preserve">mock HTTP</t>
  </si>
  <si>
    <t xml:space="preserve">srtm.test.ts</t>
  </si>
  <si>
    <t xml:space="preserve">demCorrection.integration.test.ts</t>
  </si>
  <si>
    <t xml:space="preserve">BA 26K gain within 3% of published</t>
  </si>
  <si>
    <t xml:space="preserve">GAP correct when DEM correction applied</t>
  </si>
  <si>
    <t xml:space="preserve">ve.test.ts</t>
  </si>
  <si>
    <t xml:space="preserve">crossover at 15.8, 22, edge grades</t>
  </si>
  <si>
    <t xml:space="preserve">utmbIndex.test.ts</t>
  </si>
  <si>
    <t xml:space="preserve">3 known-athlete fixtures</t>
  </si>
  <si>
    <t xml:space="preserve">itraIndex.test.ts</t>
  </si>
  <si>
    <t xml:space="preserve">fallback path</t>
  </si>
  <si>
    <t xml:space="preserve">terrain.full.integration.test.ts</t>
  </si>
  <si>
    <t xml:space="preserve">GAP + DEM + VE + UTMB populated</t>
  </si>
  <si>
    <t xml:space="preserve">DashboardView.test.tsx</t>
  </si>
  <si>
    <t xml:space="preserve">terrain card renders</t>
  </si>
  <si>
    <t xml:space="preserve">bayes.test.ts</t>
  </si>
  <si>
    <t xml:space="preserve">6 synthetic fleets, shrinkage monotonicity</t>
  </si>
  <si>
    <t xml:space="preserve">priors.schema.test.ts</t>
  </si>
  <si>
    <t xml:space="preserve">JSON schema valid</t>
  </si>
  <si>
    <t xml:space="preserve">mim.shadow.integration.test.ts</t>
  </si>
  <si>
    <t xml:space="preserve">both paths produce sensible values</t>
  </si>
  <si>
    <t xml:space="preserve">trimp.test.ts</t>
  </si>
  <si>
    <t xml:space="preserve">behaviour unchanged with flag OFF</t>
  </si>
  <si>
    <t xml:space="preserve">learner.test.ts</t>
  </si>
  <si>
    <t xml:space="preserve">observation update monotonicity</t>
  </si>
  <si>
    <t xml:space="preserve">Component</t>
  </si>
  <si>
    <t xml:space="preserve">SorenessPrompt.test.tsx</t>
  </si>
  <si>
    <t xml:space="preserve">render, submit, skip</t>
  </si>
  <si>
    <t xml:space="preserve">mim.learner.integration.test.ts</t>
  </si>
  <si>
    <t xml:space="preserve">25 obs shrink posterior sd</t>
  </si>
  <si>
    <t xml:space="preserve">update-posteriors.test.py</t>
  </si>
  <si>
    <t xml:space="preserve">pytest against fixture DB</t>
  </si>
  <si>
    <t xml:space="preserve">full suite</t>
  </si>
  <si>
    <t xml:space="preserve">must stay green</t>
  </si>
  <si>
    <t xml:space="preserve">MIMEvidenceBadge.test.tsx</t>
  </si>
  <si>
    <t xml:space="preserve">all 4 tier variants render</t>
  </si>
  <si>
    <t xml:space="preserve">Visual</t>
  </si>
  <si>
    <t xml:space="preserve">Storybook snapshot</t>
  </si>
  <si>
    <t xml:space="preserve">4 badges</t>
  </si>
  <si>
    <t xml:space="preserve">mim.full.integration.test.ts</t>
  </si>
  <si>
    <t xml:space="preserve">badge renders with real posterior</t>
  </si>
  <si>
    <t xml:space="preserve">Doc</t>
  </si>
  <si>
    <t xml:space="preserve">lint-citations.test.ts</t>
  </si>
  <si>
    <t xml:space="preserve">every PMID in methodology resolves</t>
  </si>
  <si>
    <t xml:space="preserve">eccentric.test.ts</t>
  </si>
  <si>
    <t xml:space="preserve">3 bucket boundaries + 2 real activity fixtures</t>
  </si>
  <si>
    <t xml:space="preserve">flat-only unchanged</t>
  </si>
  <si>
    <t xml:space="preserve">descent.integration.test.ts</t>
  </si>
  <si>
    <t xml:space="preserve">boutMemory.test.ts</t>
  </si>
  <si>
    <t xml:space="preserve">decay correctness</t>
  </si>
  <si>
    <t xml:space="preserve">descent.full.integration.test.ts</t>
  </si>
  <si>
    <t xml:space="preserve">eccentric+bout+readiness nudge</t>
  </si>
  <si>
    <t xml:space="preserve">readiness.test.ts</t>
  </si>
  <si>
    <t xml:space="preserve">unchanged when flag OFF</t>
  </si>
  <si>
    <t xml:space="preserve">dose.test.ts</t>
  </si>
  <si>
    <t xml:space="preserve">sea-level dose = 0</t>
  </si>
  <si>
    <t xml:space="preserve">acclimatization.test.ts</t>
  </si>
  <si>
    <t xml:space="preserve">sigmoid monotonicity, decay rate</t>
  </si>
  <si>
    <t xml:space="preserve">AltitudeTripForm.test.tsx</t>
  </si>
  <si>
    <t xml:space="preserve">submit + validation</t>
  </si>
  <si>
    <t xml:space="preserve">altitude.integration.test.ts</t>
  </si>
  <si>
    <t xml:space="preserve">dose -&gt; index -&gt; snapshot</t>
  </si>
  <si>
    <t xml:space="preserve">dampening.test.ts</t>
  </si>
  <si>
    <t xml:space="preserve">curve at 1500/2500/3500 m</t>
  </si>
  <si>
    <t xml:space="preserve">ams.test.ts</t>
  </si>
  <si>
    <t xml:space="preserve">threshold crossings</t>
  </si>
  <si>
    <t xml:space="preserve">altitude.full.integration.test.ts</t>
  </si>
  <si>
    <t xml:space="preserve">end-to-end dose -&gt; advisory</t>
  </si>
  <si>
    <t xml:space="preserve">unaffected at sea level</t>
  </si>
  <si>
    <t xml:space="preserve">adaptive.rules.test.ts</t>
  </si>
  <si>
    <t xml:space="preserve">rule precedence table</t>
  </si>
  <si>
    <t xml:space="preserve">coachGolden.test.ts</t>
  </si>
  <si>
    <t xml:space="preserve">10 fixture days, snapshot-compared</t>
  </si>
  <si>
    <t xml:space="preserve">adaptive.full.integration.test.ts</t>
  </si>
  <si>
    <t xml:space="preserve">all 5 engines -&gt; prescription</t>
  </si>
  <si>
    <t xml:space="preserve">no prior test breaks</t>
  </si>
  <si>
    <t xml:space="preserve">Performance</t>
  </si>
  <si>
    <t xml:space="preserve">tinybench suite</t>
  </si>
  <si>
    <t xml:space="preserve">under budgets</t>
  </si>
  <si>
    <t xml:space="preserve">axe-core CI</t>
  </si>
  <si>
    <t xml:space="preserve">0 criticals</t>
  </si>
  <si>
    <t xml:space="preserve">Smoke</t>
  </si>
  <si>
    <t xml:space="preserve">Playwright</t>
  </si>
  <si>
    <t xml:space="preserve">login -&gt; dashboard -&gt; activity -&gt; plan</t>
  </si>
  <si>
    <t xml:space="preserve">0 failures</t>
  </si>
  <si>
    <t xml:space="preserve">Risk Register (plan-level + sprint-level)</t>
  </si>
  <si>
    <t xml:space="preserve">Risk ID</t>
  </si>
  <si>
    <t xml:space="preserve">Risk</t>
  </si>
  <si>
    <t xml:space="preserve">Prob</t>
  </si>
  <si>
    <t xml:space="preserve">Impact</t>
  </si>
  <si>
    <t xml:space="preserve">Mitigation</t>
  </si>
  <si>
    <t xml:space="preserve">R-P-01</t>
  </si>
  <si>
    <t xml:space="preserve">Plan</t>
  </si>
  <si>
    <t xml:space="preserve">Insufficient fleet data for MIM priors</t>
  </si>
  <si>
    <t xml:space="preserve">H</t>
  </si>
  <si>
    <t xml:space="preserve">Mike</t>
  </si>
  <si>
    <t xml:space="preserve">Tag low-N priors T4; ship with legacy fallback</t>
  </si>
  <si>
    <t xml:space="preserve">Monitor</t>
  </si>
  <si>
    <t xml:space="preserve">R-P-02</t>
  </si>
  <si>
    <t xml:space="preserve">DEM bandwidth costs</t>
  </si>
  <si>
    <t xml:space="preserve">M</t>
  </si>
  <si>
    <t xml:space="preserve">Tile cache + Cloudflare Worker proxy</t>
  </si>
  <si>
    <t xml:space="preserve">R-P-03</t>
  </si>
  <si>
    <t xml:space="preserve">Coach LLM hallucinates engine values</t>
  </si>
  <si>
    <t xml:space="preserve">Golden tests + explicit prompt + post-hoc validator</t>
  </si>
  <si>
    <t xml:space="preserve">R-P-04</t>
  </si>
  <si>
    <t xml:space="preserve">Soreness-prompt fatigue hurts compliance</t>
  </si>
  <si>
    <t xml:space="preserve">Cap 3/week + smart skip</t>
  </si>
  <si>
    <t xml:space="preserve">R-P-05</t>
  </si>
  <si>
    <t xml:space="preserve">Medical-liability language in AMS advisory</t>
  </si>
  <si>
    <t xml:space="preserve">Legal copy review; informational framing</t>
  </si>
  <si>
    <t xml:space="preserve">R-P-06</t>
  </si>
  <si>
    <t xml:space="preserve">Scope creep into Readiness / Terra / billing</t>
  </si>
  <si>
    <t xml:space="preserve">Explicit out-of-scope list; backlog anything new</t>
  </si>
  <si>
    <t xml:space="preserve">R-P-07</t>
  </si>
  <si>
    <t xml:space="preserve">CI flakiness masks real regressions</t>
  </si>
  <si>
    <t xml:space="preserve">Claude</t>
  </si>
  <si>
    <t xml:space="preserve">docs/flaky-tests.md + 1-sprint fix SLA</t>
  </si>
  <si>
    <t xml:space="preserve">R-P-08</t>
  </si>
  <si>
    <t xml:space="preserve">Privacy leak via cross-athlete analytics</t>
  </si>
  <si>
    <t xml:space="preserve">L</t>
  </si>
  <si>
    <t xml:space="preserve">Hashed IDs + per-sprint privacy review</t>
  </si>
  <si>
    <t xml:space="preserve">R-P-09</t>
  </si>
  <si>
    <t xml:space="preserve">Perf regression from engine stack</t>
  </si>
  <si>
    <t xml:space="preserve">Perf budgets enforced from S12</t>
  </si>
  <si>
    <t xml:space="preserve">R-P-10</t>
  </si>
  <si>
    <t xml:space="preserve">a11y backlog at release</t>
  </si>
  <si>
    <t xml:space="preserve">axe-core in CI from S1; sweep in S13</t>
  </si>
  <si>
    <t xml:space="preserve">R-P-11</t>
  </si>
  <si>
    <t xml:space="preserve">iOS HealthKit altitude path unreliable</t>
  </si>
  <si>
    <t xml:space="preserve">Manual altitude-trip form as first-class UX</t>
  </si>
  <si>
    <t xml:space="preserve">R-P-12</t>
  </si>
  <si>
    <t xml:space="preserve">Dependency drift over 6 months</t>
  </si>
  <si>
    <t xml:space="preserve">Renovate / Dependabot monthly</t>
  </si>
  <si>
    <t xml:space="preserve">R-S1-1</t>
  </si>
  <si>
    <t xml:space="preserve">Refactor breaks hidden imports</t>
  </si>
  <si>
    <t xml:space="preserve">Add coverage gate first, refactor second</t>
  </si>
  <si>
    <t xml:space="preserve">R-S1-2</t>
  </si>
  <si>
    <t xml:space="preserve">Open-Elevation rate-limits dev</t>
  </si>
  <si>
    <t xml:space="preserve">Mock adapter; cache real calls</t>
  </si>
  <si>
    <t xml:space="preserve">R-S2-1</t>
  </si>
  <si>
    <t xml:space="preserve">S2</t>
  </si>
  <si>
    <t xml:space="preserve">Elevation stream drift/spikes</t>
  </si>
  <si>
    <t xml:space="preserve">Rolling 5-sample median smoothing before GAP</t>
  </si>
  <si>
    <t xml:space="preserve">R-S2-2</t>
  </si>
  <si>
    <t xml:space="preserve">Minetti invalid beyond +/-45%</t>
  </si>
  <si>
    <t xml:space="preserve">Clamp grade; warn; fallback to raw pace</t>
  </si>
  <si>
    <t xml:space="preserve">R-S3-1</t>
  </si>
  <si>
    <t xml:space="preserve">S3</t>
  </si>
  <si>
    <t xml:space="preserve">DEM tile bandwidth costs</t>
  </si>
  <si>
    <t xml:space="preserve">Cache aggressively; batch lookups</t>
  </si>
  <si>
    <t xml:space="preserve">R-S3-2</t>
  </si>
  <si>
    <t xml:space="preserve">Elevation cliff at tile boundaries</t>
  </si>
  <si>
    <t xml:space="preserve">Bilinear interpolation across neighbours</t>
  </si>
  <si>
    <t xml:space="preserve">R-S3-3</t>
  </si>
  <si>
    <t xml:space="preserve">CORS blocks browser-side DEM calls</t>
  </si>
  <si>
    <t xml:space="preserve">Proxy via Cloudflare Worker (worker/dem-proxy.ts)</t>
  </si>
  <si>
    <t xml:space="preserve">R-S4-1</t>
  </si>
  <si>
    <t xml:space="preserve">S4</t>
  </si>
  <si>
    <t xml:space="preserve">ITRA formula not publicly documented</t>
  </si>
  <si>
    <t xml:space="preserve">Approximate from published equivalencies; tag T3</t>
  </si>
  <si>
    <t xml:space="preserve">R-S4-2</t>
  </si>
  <si>
    <t xml:space="preserve">Giovanelli crossover varies inter-athlete</t>
  </si>
  <si>
    <t xml:space="preserve">Expose as tunable per-athlete parameter</t>
  </si>
  <si>
    <t xml:space="preserve">R-S5-1</t>
  </si>
  <si>
    <t xml:space="preserve">S5</t>
  </si>
  <si>
    <t xml:space="preserve">Fleet data too small for priors</t>
  </si>
  <si>
    <t xml:space="preserve">Mark low-N sports T4; flag to user</t>
  </si>
  <si>
    <t xml:space="preserve">R-S5-2</t>
  </si>
  <si>
    <t xml:space="preserve">Shadow logs blow up analytics cost</t>
  </si>
  <si>
    <t xml:space="preserve">Sample 10% of days</t>
  </si>
  <si>
    <t xml:space="preserve">R-S6-1</t>
  </si>
  <si>
    <t xml:space="preserve">S6</t>
  </si>
  <si>
    <t xml:space="preserve">Soreness-prompt fatigue</t>
  </si>
  <si>
    <t xml:space="preserve">Cap &lt;=3/week; smart skip after high compliance</t>
  </si>
  <si>
    <t xml:space="preserve">R-S6-2</t>
  </si>
  <si>
    <t xml:space="preserve">Cron timeout (Vercel 10s)</t>
  </si>
  <si>
    <t xml:space="preserve">Chunk athletes in 50s; or CF Worker</t>
  </si>
  <si>
    <t xml:space="preserve">R-S6-3</t>
  </si>
  <si>
    <t xml:space="preserve">Posterior overfits noisy athletes</t>
  </si>
  <si>
    <t xml:space="preserve">Cap shrinkage at prior_sigma*0.3</t>
  </si>
  <si>
    <t xml:space="preserve">R-S7-1</t>
  </si>
  <si>
    <t xml:space="preserve">External physiologist review slips</t>
  </si>
  <si>
    <t xml:space="preserve">Ship with T4 flag on unreviewed sections</t>
  </si>
  <si>
    <t xml:space="preserve">R-S7-2</t>
  </si>
  <si>
    <t xml:space="preserve">Canary detects regression</t>
  </si>
  <si>
    <t xml:space="preserve">Runbook rollback tested in staging</t>
  </si>
  <si>
    <t xml:space="preserve">R-S8-1</t>
  </si>
  <si>
    <t xml:space="preserve">Pace-penalty coefficient is choice</t>
  </si>
  <si>
    <t xml:space="preserve">Flag as T4; expose as tunable; revisit S11</t>
  </si>
  <si>
    <t xml:space="preserve">R-S8-2</t>
  </si>
  <si>
    <t xml:space="preserve">Back-compat break with stored TRIMPRecord</t>
  </si>
  <si>
    <t xml:space="preserve">Migration: default 0; schema versioning</t>
  </si>
  <si>
    <t xml:space="preserve">R-S9-1</t>
  </si>
  <si>
    <t xml:space="preserve">S9</t>
  </si>
  <si>
    <t xml:space="preserve">Readiness nudge hurts compliance</t>
  </si>
  <si>
    <t xml:space="preserve">Eccentric carry-over chip explains</t>
  </si>
  <si>
    <t xml:space="preserve">R-S9-2</t>
  </si>
  <si>
    <t xml:space="preserve">Bout memory overwrites user judgment</t>
  </si>
  <si>
    <t xml:space="preserve">Never auto-skip; only tighten recommendation</t>
  </si>
  <si>
    <t xml:space="preserve">R-S10-1</t>
  </si>
  <si>
    <t xml:space="preserve">No HealthKit altitude stream for many</t>
  </si>
  <si>
    <t xml:space="preserve">Manual trip entry first-class UX</t>
  </si>
  <si>
    <t xml:space="preserve">R-S10-2</t>
  </si>
  <si>
    <t xml:space="preserve">Sigmoid is population-level, not personal</t>
  </si>
  <si>
    <t xml:space="preserve">Mark T2; revisit post-plan</t>
  </si>
  <si>
    <t xml:space="preserve">R-S11-1</t>
  </si>
  <si>
    <t xml:space="preserve">Medical-liability in AMS advisory</t>
  </si>
  <si>
    <t xml:space="preserve">R-S11-2</t>
  </si>
  <si>
    <t xml:space="preserve">Dampening overshoots for altitude-natives</t>
  </si>
  <si>
    <t xml:space="preserve">Shrink dampening by acclimatizationIndex/100</t>
  </si>
  <si>
    <t xml:space="preserve">R-S12-1</t>
  </si>
  <si>
    <t xml:space="preserve">Rule precedence feels rigid</t>
  </si>
  <si>
    <t xml:space="preserve">Allow athlete override; log; feed to learner</t>
  </si>
  <si>
    <t xml:space="preserve">R-S12-2</t>
  </si>
  <si>
    <t xml:space="preserve">LLM hallucinates numbers</t>
  </si>
  <si>
    <t xml:space="preserve">Golden tests + strict prompt + post-hoc validator</t>
  </si>
  <si>
    <t xml:space="preserve">R-S13-1</t>
  </si>
  <si>
    <t xml:space="preserve">Perf budgets enforced in CI from S12</t>
  </si>
  <si>
    <t xml:space="preserve">R-S13-2</t>
  </si>
  <si>
    <t xml:space="preserve">a11y backlog exceeds sprint capacity</t>
  </si>
  <si>
    <t xml:space="preserve">Defer non-critical to v1.1 backlog</t>
  </si>
  <si>
    <t xml:space="preserve">Peer-reviewed references cited in the plan</t>
  </si>
  <si>
    <t xml:space="preserve">Author(s)</t>
  </si>
  <si>
    <t xml:space="preserve">Year</t>
  </si>
  <si>
    <t xml:space="preserve">Title</t>
  </si>
  <si>
    <t xml:space="preserve">Venue</t>
  </si>
  <si>
    <t xml:space="preserve">Tier</t>
  </si>
  <si>
    <t xml:space="preserve">PMID</t>
  </si>
  <si>
    <t xml:space="preserve">Banister EW</t>
  </si>
  <si>
    <t xml:space="preserve">Modeling elite athletic performance (TRIMP)</t>
  </si>
  <si>
    <t xml:space="preserve">In: MacDougall JD, ed. Physiological Testing of the High Performance Athlete</t>
  </si>
  <si>
    <t xml:space="preserve">T1</t>
  </si>
  <si>
    <t xml:space="preserve">Book chapter</t>
  </si>
  <si>
    <t xml:space="preserve">Bailey DM et al</t>
  </si>
  <si>
    <t xml:space="preserve">Altitude training and the AMS consensus</t>
  </si>
  <si>
    <t xml:space="preserve">High Alt Med Biol</t>
  </si>
  <si>
    <t xml:space="preserve">34001987</t>
  </si>
  <si>
    <t xml:space="preserve">PubMed</t>
  </si>
  <si>
    <t xml:space="preserve">Chapman RF et al</t>
  </si>
  <si>
    <t xml:space="preserve">Defining the 'dose' of altitude training</t>
  </si>
  <si>
    <t xml:space="preserve">J Appl Physiol 116(6):595-603</t>
  </si>
  <si>
    <t xml:space="preserve">T2</t>
  </si>
  <si>
    <t xml:space="preserve">24264287</t>
  </si>
  <si>
    <t xml:space="preserve">Delp SL et al</t>
  </si>
  <si>
    <t xml:space="preserve">OpenSim framework</t>
  </si>
  <si>
    <t xml:space="preserve">IEEE Trans Biomed Eng 54(11):1940-1950</t>
  </si>
  <si>
    <t xml:space="preserve">T3</t>
  </si>
  <si>
    <t xml:space="preserve">18018689</t>
  </si>
  <si>
    <t xml:space="preserve">Efron B, Morris C</t>
  </si>
  <si>
    <t xml:space="preserve">Stein's paradox in statistics</t>
  </si>
  <si>
    <t xml:space="preserve">Sci Am 236(5):119-127</t>
  </si>
  <si>
    <t xml:space="preserve">Journal</t>
  </si>
  <si>
    <t xml:space="preserve">Gabbett TJ</t>
  </si>
  <si>
    <t xml:space="preserve">Training-injury prevention paradox (ACWR)</t>
  </si>
  <si>
    <t xml:space="preserve">Br J Sports Med 50(5):273-280</t>
  </si>
  <si>
    <t xml:space="preserve">26758673</t>
  </si>
  <si>
    <t xml:space="preserve">Gelman A et al</t>
  </si>
  <si>
    <t xml:space="preserve">Bayesian Data Analysis 3rd ed</t>
  </si>
  <si>
    <t xml:space="preserve">CRC Press</t>
  </si>
  <si>
    <t xml:space="preserve">Book</t>
  </si>
  <si>
    <t xml:space="preserve">Giovanelli N et al</t>
  </si>
  <si>
    <t xml:space="preserve">Energetics of vertical kilometer foot races</t>
  </si>
  <si>
    <t xml:space="preserve">Eur J Appl Physiol</t>
  </si>
  <si>
    <t xml:space="preserve">27116915</t>
  </si>
  <si>
    <t xml:space="preserve">Guyatt GH et al</t>
  </si>
  <si>
    <t xml:space="preserve">GRADE evidence framework</t>
  </si>
  <si>
    <t xml:space="preserve">BMJ 336(7650):924-926</t>
  </si>
  <si>
    <t xml:space="preserve">18436948</t>
  </si>
  <si>
    <t xml:space="preserve">Hyldahl RD et al</t>
  </si>
  <si>
    <t xml:space="preserve">Mechanisms of repeated bout effect</t>
  </si>
  <si>
    <t xml:space="preserve">Exerc Sport Sci Rev</t>
  </si>
  <si>
    <t xml:space="preserve">28457071</t>
  </si>
  <si>
    <t xml:space="preserve">Levine BD, Stray-Gundersen J</t>
  </si>
  <si>
    <t xml:space="preserve">Live high train low</t>
  </si>
  <si>
    <t xml:space="preserve">J Appl Physiol 83(1):102-112</t>
  </si>
  <si>
    <t xml:space="preserve">9216968</t>
  </si>
  <si>
    <t xml:space="preserve">Meeusen R et al</t>
  </si>
  <si>
    <t xml:space="preserve">Overtraining syndrome ECSS/ACSM consensus</t>
  </si>
  <si>
    <t xml:space="preserve">Med Sci Sports Exerc</t>
  </si>
  <si>
    <t xml:space="preserve">23247672</t>
  </si>
  <si>
    <t xml:space="preserve">Minetti AE et al</t>
  </si>
  <si>
    <t xml:space="preserve">Energy cost of walking/running at extreme slopes</t>
  </si>
  <si>
    <t xml:space="preserve">J Appl Physiol 93(3):1039-1046</t>
  </si>
  <si>
    <t xml:space="preserve">12235031</t>
  </si>
  <si>
    <t xml:space="preserve">Morton RH et al</t>
  </si>
  <si>
    <t xml:space="preserve">Modeling human performance in running</t>
  </si>
  <si>
    <t xml:space="preserve">J Appl Physiol 69(3):1171-1177</t>
  </si>
  <si>
    <t xml:space="preserve">Peake JM et al</t>
  </si>
  <si>
    <t xml:space="preserve">Muscle damage and inflammation during recovery</t>
  </si>
  <si>
    <t xml:space="preserve">J Appl Physiol</t>
  </si>
  <si>
    <t xml:space="preserve">28153916</t>
  </si>
  <si>
    <t xml:space="preserve">Plews DJ, Laursen PB</t>
  </si>
  <si>
    <t xml:space="preserve">HRV in elite athletes</t>
  </si>
  <si>
    <t xml:space="preserve">Int J Sports Physiol Perform</t>
  </si>
  <si>
    <t xml:space="preserve">23921488</t>
  </si>
  <si>
    <t xml:space="preserve">Vernillo G et al</t>
  </si>
  <si>
    <t xml:space="preserve">Biomechanics of uphill/downhill running</t>
  </si>
  <si>
    <t xml:space="preserve">Sports Med 47:615-629</t>
  </si>
  <si>
    <t xml:space="preserve">28497285</t>
  </si>
  <si>
    <t xml:space="preserve">West JB</t>
  </si>
  <si>
    <t xml:space="preserve">High Altitude Medicine and Physiology 5th ed</t>
  </si>
  <si>
    <t xml:space="preserve">Term</t>
  </si>
  <si>
    <t xml:space="preserve">Definition</t>
  </si>
  <si>
    <t xml:space="preserve">ACWR</t>
  </si>
  <si>
    <t xml:space="preserve">Acute:Chronic Workload Ratio (Gabbett 2016)</t>
  </si>
  <si>
    <t xml:space="preserve">AMS</t>
  </si>
  <si>
    <t xml:space="preserve">Acute Mountain Sickness (Bailey 2021)</t>
  </si>
  <si>
    <t xml:space="preserve">ATE</t>
  </si>
  <si>
    <t xml:space="preserve">Readiness composite score (src/utils/readiness.ts)</t>
  </si>
  <si>
    <t xml:space="preserve">ATL</t>
  </si>
  <si>
    <t xml:space="preserve">Acute Training Load (~7-day EMA)</t>
  </si>
  <si>
    <t xml:space="preserve">Banister TRIMP</t>
  </si>
  <si>
    <t xml:space="preserve">HR-based training impulse (Banister 1991)</t>
  </si>
  <si>
    <t xml:space="preserve">Bayesian partial pooling</t>
  </si>
  <si>
    <t xml:space="preserve">Shrinkage toward population mean (Efron-Morris 1977 / Gelman BDA3)</t>
  </si>
  <si>
    <t xml:space="preserve">CTL</t>
  </si>
  <si>
    <t xml:space="preserve">Chronic Training Load (~42-day EMA)</t>
  </si>
  <si>
    <t xml:space="preserve">DEM</t>
  </si>
  <si>
    <t xml:space="preserve">Digital Elevation Model (USGS 3DEP / SRTM / ASTER GDEM / Open-Elevation)</t>
  </si>
  <si>
    <t xml:space="preserve">Eccentric muscle damage dose from downhill (Vernillo 2017)</t>
  </si>
  <si>
    <t xml:space="preserve">DoD</t>
  </si>
  <si>
    <t xml:space="preserve">Definition of Done</t>
  </si>
  <si>
    <t xml:space="preserve">DOMS</t>
  </si>
  <si>
    <t xml:space="preserve">Delayed-Onset Muscle Soreness (carry-forward in trimp.ts)</t>
  </si>
  <si>
    <t xml:space="preserve">Evidence Tier</t>
  </si>
  <si>
    <t xml:space="preserve">T1 RCT/meta, T2 observational, T3 first-principles, T4 heuristic</t>
  </si>
  <si>
    <t xml:space="preserve">GAP</t>
  </si>
  <si>
    <t xml:space="preserve">Grade-Adjusted Pace (Minetti 2002)</t>
  </si>
  <si>
    <t xml:space="preserve">GRADE</t>
  </si>
  <si>
    <t xml:space="preserve">Evidence-quality framework (Guyatt 2008)</t>
  </si>
  <si>
    <t xml:space="preserve">ITRA</t>
  </si>
  <si>
    <t xml:space="preserve">International Trail Running Association Performance Index</t>
  </si>
  <si>
    <t xml:space="preserve">LHTL</t>
  </si>
  <si>
    <t xml:space="preserve">Live High Train Low (Levine &amp; Stray-Gundersen 1997)</t>
  </si>
  <si>
    <t xml:space="preserve">MIM</t>
  </si>
  <si>
    <t xml:space="preserve">Musculoskeletal Impact Modifier (novel IP)</t>
  </si>
  <si>
    <t xml:space="preserve">NFOR</t>
  </si>
  <si>
    <t xml:space="preserve">Non-Functional Overreaching (Meeusen 2013)</t>
  </si>
  <si>
    <t xml:space="preserve">OpenSim</t>
  </si>
  <si>
    <t xml:space="preserve">Musculoskeletal modeling framework (Delp 2007)</t>
  </si>
  <si>
    <t xml:space="preserve">Repeated-Bout Effect</t>
  </si>
  <si>
    <t xml:space="preserve">Subsequent bout reduced damage (Hyldahl 2017)</t>
  </si>
  <si>
    <t xml:space="preserve">TSB</t>
  </si>
  <si>
    <t xml:space="preserve">Training Stress Balance (CTL - ATL)</t>
  </si>
  <si>
    <t xml:space="preserve">UTMB Index</t>
  </si>
  <si>
    <t xml:space="preserve">Ultra-Trail Mont-Blanc race performance index</t>
  </si>
  <si>
    <t xml:space="preserve">VAM</t>
  </si>
  <si>
    <t xml:space="preserve">Velocita Ascensionale Media (m/hour ascent)</t>
  </si>
  <si>
    <t xml:space="preserve">VE</t>
  </si>
  <si>
    <t xml:space="preserve">Vertical Efficiency (Giovanelli 2016 crossover)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</si>
</sst>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1F3864"/>
      <name val="Arial"/>
      <family val="0"/>
      <charset val="1"/>
    </font>
    <font>
      <b val="true"/>
      <sz val="14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4"/>
      <color rgb="FF1F3864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sz val="9"/>
      <color rgb="FF595959"/>
      <name val="Arial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D9D9D9"/>
        <bgColor rgb="FFEAD9F6"/>
      </patternFill>
    </fill>
    <fill>
      <patternFill patternType="solid">
        <fgColor rgb="FF1F3864"/>
        <bgColor rgb="FF333333"/>
      </patternFill>
    </fill>
    <fill>
      <patternFill patternType="solid">
        <fgColor rgb="FFF2F2F2"/>
        <bgColor rgb="FFE7F4EA"/>
      </patternFill>
    </fill>
    <fill>
      <patternFill patternType="solid">
        <fgColor rgb="FFFFF4CE"/>
        <bgColor rgb="FFFFF2CC"/>
      </patternFill>
    </fill>
    <fill>
      <patternFill patternType="solid">
        <fgColor rgb="FFE7F4EA"/>
        <bgColor rgb="FFF2F2F2"/>
      </patternFill>
    </fill>
    <fill>
      <patternFill patternType="solid">
        <fgColor rgb="FFEAD9F6"/>
        <bgColor rgb="FFE1E8F5"/>
      </patternFill>
    </fill>
    <fill>
      <patternFill patternType="solid">
        <fgColor rgb="FFFDE6D3"/>
        <bgColor rgb="FFFCE4D6"/>
      </patternFill>
    </fill>
    <fill>
      <patternFill patternType="solid">
        <fgColor rgb="FFE1E8F5"/>
        <bgColor rgb="FFE2EFDA"/>
      </patternFill>
    </fill>
    <fill>
      <patternFill patternType="solid">
        <fgColor rgb="FFFBD5D5"/>
        <bgColor rgb="FFFCE4D6"/>
      </patternFill>
    </fill>
    <fill>
      <patternFill patternType="solid">
        <fgColor rgb="FFFFF2CC"/>
        <bgColor rgb="FFFFF4CE"/>
      </patternFill>
    </fill>
    <fill>
      <patternFill patternType="solid">
        <fgColor rgb="FFFCE4D6"/>
        <bgColor rgb="FFFDE6D3"/>
      </patternFill>
    </fill>
    <fill>
      <patternFill patternType="solid">
        <fgColor rgb="FFE2EFDA"/>
        <bgColor rgb="FFE7F4E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11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1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1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7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4CE"/>
      <rgbColor rgb="FFE7F4EA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1E8F5"/>
      <rgbColor rgb="FFE2EFDA"/>
      <rgbColor rgb="FFFFF2CC"/>
      <rgbColor rgb="FFEAD9F6"/>
      <rgbColor rgb="FFFCE4D6"/>
      <rgbColor rgb="FFFDE6D3"/>
      <rgbColor rgb="FFFBD5D5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80"/>
  </cols>
  <sheetData>
    <row r="1" customFormat="false" ht="24" hidden="false" customHeight="true" outlineLevel="0" collapsed="false">
      <c r="A1" s="2" t="s">
        <v>0</v>
      </c>
      <c r="B1" s="2"/>
    </row>
    <row r="2" customFormat="false" ht="17.25" hidden="false" customHeight="true" outlineLevel="0" collapsed="false">
      <c r="A2" s="3" t="s">
        <v>1</v>
      </c>
      <c r="B2" s="3"/>
    </row>
    <row r="4" customFormat="false" ht="15" hidden="false" customHeight="true" outlineLevel="0" collapsed="false">
      <c r="A4" s="4" t="s">
        <v>2</v>
      </c>
      <c r="B4" s="5" t="s">
        <v>3</v>
      </c>
    </row>
    <row r="5" customFormat="false" ht="15" hidden="false" customHeight="true" outlineLevel="0" collapsed="false">
      <c r="A5" s="4" t="s">
        <v>4</v>
      </c>
      <c r="B5" s="5" t="s">
        <v>5</v>
      </c>
    </row>
    <row r="6" customFormat="false" ht="15" hidden="false" customHeight="true" outlineLevel="0" collapsed="false">
      <c r="A6" s="4" t="s">
        <v>6</v>
      </c>
      <c r="B6" s="5" t="s">
        <v>7</v>
      </c>
    </row>
    <row r="7" customFormat="false" ht="15" hidden="false" customHeight="true" outlineLevel="0" collapsed="false">
      <c r="A7" s="4" t="s">
        <v>8</v>
      </c>
      <c r="B7" s="5" t="s">
        <v>9</v>
      </c>
    </row>
    <row r="8" customFormat="false" ht="15" hidden="false" customHeight="true" outlineLevel="0" collapsed="false">
      <c r="A8" s="4" t="s">
        <v>10</v>
      </c>
      <c r="B8" s="5" t="s">
        <v>11</v>
      </c>
    </row>
    <row r="9" customFormat="false" ht="15" hidden="false" customHeight="true" outlineLevel="0" collapsed="false">
      <c r="A9" s="4" t="s">
        <v>12</v>
      </c>
      <c r="B9" s="5" t="s">
        <v>13</v>
      </c>
    </row>
    <row r="10" customFormat="false" ht="23.25" hidden="false" customHeight="true" outlineLevel="0" collapsed="false">
      <c r="A10" s="4" t="s">
        <v>14</v>
      </c>
      <c r="B10" s="5" t="s">
        <v>15</v>
      </c>
    </row>
    <row r="11" customFormat="false" ht="15" hidden="false" customHeight="true" outlineLevel="0" collapsed="false">
      <c r="A11" s="4" t="s">
        <v>16</v>
      </c>
      <c r="B11" s="5" t="s">
        <v>17</v>
      </c>
    </row>
    <row r="12" customFormat="false" ht="23.25" hidden="false" customHeight="true" outlineLevel="0" collapsed="false">
      <c r="A12" s="4" t="s">
        <v>18</v>
      </c>
      <c r="B12" s="5" t="s">
        <v>19</v>
      </c>
    </row>
    <row r="14" customFormat="false" ht="21.75" hidden="false" customHeight="true" outlineLevel="0" collapsed="false">
      <c r="A14" s="6" t="s">
        <v>20</v>
      </c>
      <c r="B14" s="6" t="s">
        <v>21</v>
      </c>
    </row>
    <row r="15" customFormat="false" ht="15" hidden="false" customHeight="true" outlineLevel="0" collapsed="false">
      <c r="A15" s="7" t="s">
        <v>22</v>
      </c>
      <c r="B15" s="8" t="s">
        <v>23</v>
      </c>
    </row>
    <row r="16" customFormat="false" ht="15" hidden="false" customHeight="true" outlineLevel="0" collapsed="false">
      <c r="A16" s="7" t="s">
        <v>24</v>
      </c>
      <c r="B16" s="8" t="s">
        <v>25</v>
      </c>
    </row>
    <row r="17" customFormat="false" ht="15" hidden="false" customHeight="true" outlineLevel="0" collapsed="false">
      <c r="A17" s="7" t="s">
        <v>26</v>
      </c>
      <c r="B17" s="8" t="s">
        <v>27</v>
      </c>
    </row>
    <row r="18" customFormat="false" ht="15" hidden="false" customHeight="true" outlineLevel="0" collapsed="false">
      <c r="A18" s="7" t="s">
        <v>28</v>
      </c>
      <c r="B18" s="8" t="s">
        <v>29</v>
      </c>
    </row>
    <row r="19" customFormat="false" ht="15" hidden="false" customHeight="true" outlineLevel="0" collapsed="false">
      <c r="A19" s="7" t="s">
        <v>30</v>
      </c>
      <c r="B19" s="8" t="s">
        <v>31</v>
      </c>
    </row>
    <row r="20" customFormat="false" ht="15" hidden="false" customHeight="true" outlineLevel="0" collapsed="false">
      <c r="A20" s="7" t="s">
        <v>32</v>
      </c>
      <c r="B20" s="8" t="s">
        <v>33</v>
      </c>
    </row>
    <row r="21" customFormat="false" ht="15" hidden="false" customHeight="true" outlineLevel="0" collapsed="false">
      <c r="A21" s="7" t="s">
        <v>34</v>
      </c>
      <c r="B21" s="8" t="s">
        <v>35</v>
      </c>
    </row>
    <row r="22" customFormat="false" ht="15" hidden="false" customHeight="true" outlineLevel="0" collapsed="false">
      <c r="A22" s="7" t="s">
        <v>36</v>
      </c>
      <c r="B22" s="8" t="s">
        <v>37</v>
      </c>
    </row>
    <row r="23" customFormat="false" ht="15" hidden="false" customHeight="true" outlineLevel="0" collapsed="false">
      <c r="A23" s="7" t="s">
        <v>38</v>
      </c>
      <c r="B23" s="8" t="s">
        <v>39</v>
      </c>
    </row>
    <row r="24" customFormat="false" ht="15" hidden="false" customHeight="true" outlineLevel="0" collapsed="false">
      <c r="A24" s="7" t="s">
        <v>40</v>
      </c>
      <c r="B24" s="8" t="s">
        <v>41</v>
      </c>
    </row>
    <row r="25" customFormat="false" ht="15" hidden="false" customHeight="true" outlineLevel="0" collapsed="false">
      <c r="A25" s="7" t="s">
        <v>42</v>
      </c>
      <c r="B25" s="8" t="s">
        <v>43</v>
      </c>
    </row>
  </sheetData>
  <mergeCells count="2">
    <mergeCell ref="A1:B1"/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2"/>
    <col collapsed="false" customWidth="true" hidden="false" outlineLevel="0" max="5" min="2" style="1" width="14"/>
    <col collapsed="false" customWidth="true" hidden="false" outlineLevel="0" max="6" min="6" style="1" width="60"/>
  </cols>
  <sheetData>
    <row r="1" customFormat="false" ht="21.75" hidden="false" customHeight="true" outlineLevel="0" collapsed="false">
      <c r="A1" s="9" t="s">
        <v>44</v>
      </c>
      <c r="B1" s="9"/>
      <c r="C1" s="9"/>
      <c r="D1" s="9"/>
      <c r="E1" s="9"/>
      <c r="F1" s="9"/>
    </row>
    <row r="3" customFormat="false" ht="21.75" hidden="false" customHeight="true" outlineLevel="0" collapsed="false">
      <c r="A3" s="6" t="s">
        <v>45</v>
      </c>
      <c r="B3" s="6" t="s">
        <v>46</v>
      </c>
      <c r="C3" s="6" t="s">
        <v>47</v>
      </c>
      <c r="D3" s="6" t="s">
        <v>48</v>
      </c>
      <c r="E3" s="6" t="s">
        <v>49</v>
      </c>
      <c r="F3" s="6" t="s">
        <v>50</v>
      </c>
    </row>
    <row r="4" customFormat="false" ht="15" hidden="false" customHeight="true" outlineLevel="0" collapsed="false">
      <c r="A4" s="10" t="s">
        <v>51</v>
      </c>
      <c r="B4" s="11" t="n">
        <f aca="false">COUNTA(Sprints!B4:B16)</f>
        <v>13</v>
      </c>
      <c r="C4" s="11" t="n">
        <f aca="false">COUNTIF(Sprints!I4:I16,"Planned")</f>
        <v>13</v>
      </c>
      <c r="D4" s="11" t="n">
        <f aca="false">COUNTIF(Sprints!I4:I16,"In Progress")</f>
        <v>0</v>
      </c>
      <c r="E4" s="11" t="n">
        <f aca="false">COUNTIF(Sprints!I4:I16,"Done")</f>
        <v>0</v>
      </c>
      <c r="F4" s="12" t="s">
        <v>52</v>
      </c>
    </row>
    <row r="5" customFormat="false" ht="15" hidden="false" customHeight="true" outlineLevel="0" collapsed="false">
      <c r="A5" s="13" t="s">
        <v>53</v>
      </c>
      <c r="B5" s="14" t="n">
        <f aca="false">COUNTA(Phases!A4:A9)</f>
        <v>6</v>
      </c>
      <c r="C5" s="14" t="s">
        <v>54</v>
      </c>
      <c r="D5" s="14" t="s">
        <v>54</v>
      </c>
      <c r="E5" s="14" t="s">
        <v>54</v>
      </c>
      <c r="F5" s="8" t="s">
        <v>55</v>
      </c>
    </row>
    <row r="6" customFormat="false" ht="15" hidden="false" customHeight="true" outlineLevel="0" collapsed="false">
      <c r="A6" s="10" t="s">
        <v>56</v>
      </c>
      <c r="B6" s="11" t="n">
        <f aca="false">COUNTA(User_Stories!A4:A40)</f>
        <v>37</v>
      </c>
      <c r="C6" s="11" t="n">
        <f aca="false">COUNTIF(User_Stories!G4:G40,"Planned")</f>
        <v>37</v>
      </c>
      <c r="D6" s="11" t="n">
        <f aca="false">COUNTIF(User_Stories!G4:G40,"In Progress")</f>
        <v>0</v>
      </c>
      <c r="E6" s="11" t="n">
        <f aca="false">COUNTIF(User_Stories!G4:G40,"Done")</f>
        <v>0</v>
      </c>
      <c r="F6" s="12" t="s">
        <v>57</v>
      </c>
    </row>
    <row r="7" customFormat="false" ht="15" hidden="false" customHeight="true" outlineLevel="0" collapsed="false">
      <c r="A7" s="13" t="s">
        <v>58</v>
      </c>
      <c r="B7" s="14" t="n">
        <f aca="false">COUNTA(Tasks!B4:B200)</f>
        <v>66</v>
      </c>
      <c r="C7" s="14" t="n">
        <f aca="false">COUNTIF(Tasks!F4:F200,"Planned")</f>
        <v>66</v>
      </c>
      <c r="D7" s="14" t="n">
        <f aca="false">COUNTIF(Tasks!F4:F200,"In Progress")</f>
        <v>0</v>
      </c>
      <c r="E7" s="14" t="n">
        <f aca="false">COUNTIF(Tasks!F4:F200,"Done")</f>
        <v>0</v>
      </c>
      <c r="F7" s="8" t="s">
        <v>59</v>
      </c>
    </row>
    <row r="8" customFormat="false" ht="15" hidden="false" customHeight="true" outlineLevel="0" collapsed="false">
      <c r="A8" s="10" t="s">
        <v>60</v>
      </c>
      <c r="B8" s="11" t="n">
        <f aca="false">COUNTA(QA_Checklist!A4:A200)</f>
        <v>67</v>
      </c>
      <c r="C8" s="11" t="s">
        <v>54</v>
      </c>
      <c r="D8" s="11" t="s">
        <v>54</v>
      </c>
      <c r="E8" s="11" t="s">
        <v>54</v>
      </c>
      <c r="F8" s="12" t="s">
        <v>61</v>
      </c>
    </row>
    <row r="9" customFormat="false" ht="15" hidden="false" customHeight="true" outlineLevel="0" collapsed="false">
      <c r="A9" s="13" t="s">
        <v>62</v>
      </c>
      <c r="B9" s="14" t="n">
        <f aca="false">COUNTA(Test_Matrix!A4:A200)</f>
        <v>55</v>
      </c>
      <c r="C9" s="14" t="s">
        <v>54</v>
      </c>
      <c r="D9" s="14" t="s">
        <v>54</v>
      </c>
      <c r="E9" s="14" t="s">
        <v>54</v>
      </c>
      <c r="F9" s="8" t="s">
        <v>63</v>
      </c>
    </row>
    <row r="10" customFormat="false" ht="15" hidden="false" customHeight="true" outlineLevel="0" collapsed="false">
      <c r="A10" s="10" t="s">
        <v>64</v>
      </c>
      <c r="B10" s="11" t="n">
        <f aca="false">COUNTA(Risk_Register!A4:A200)</f>
        <v>40</v>
      </c>
      <c r="C10" s="11" t="n">
        <f aca="false">COUNTIF(Risk_Register!H4:H200,"Open")</f>
        <v>28</v>
      </c>
      <c r="D10" s="11" t="n">
        <f aca="false">COUNTIF(Risk_Register!H4:H200,"Monitor")</f>
        <v>12</v>
      </c>
      <c r="E10" s="11" t="n">
        <f aca="false">COUNTIF(Risk_Register!H4:H200,"Closed")</f>
        <v>0</v>
      </c>
      <c r="F10" s="12" t="s">
        <v>65</v>
      </c>
    </row>
    <row r="11" customFormat="false" ht="15" hidden="false" customHeight="true" outlineLevel="0" collapsed="false">
      <c r="A11" s="13" t="s">
        <v>66</v>
      </c>
      <c r="B11" s="14" t="n">
        <f aca="false">COUNTA(References!A4:A200)</f>
        <v>18</v>
      </c>
      <c r="C11" s="14" t="s">
        <v>54</v>
      </c>
      <c r="D11" s="14" t="s">
        <v>54</v>
      </c>
      <c r="E11" s="14" t="s">
        <v>54</v>
      </c>
      <c r="F11" s="8" t="s">
        <v>67</v>
      </c>
    </row>
    <row r="12" customFormat="false" ht="15" hidden="false" customHeight="true" outlineLevel="0" collapsed="false">
      <c r="A12" s="10" t="s">
        <v>68</v>
      </c>
      <c r="B12" s="11" t="n">
        <f aca="false">COUNTA(Glossary!A4:A200)</f>
        <v>24</v>
      </c>
      <c r="C12" s="11" t="s">
        <v>54</v>
      </c>
      <c r="D12" s="11" t="s">
        <v>54</v>
      </c>
      <c r="E12" s="11" t="s">
        <v>54</v>
      </c>
      <c r="F12" s="12" t="s">
        <v>69</v>
      </c>
    </row>
    <row r="14" customFormat="false" ht="15" hidden="false" customHeight="true" outlineLevel="0" collapsed="false">
      <c r="A14" s="15" t="s">
        <v>70</v>
      </c>
      <c r="B14" s="15"/>
      <c r="C14" s="15"/>
      <c r="D14" s="15"/>
      <c r="E14" s="15"/>
      <c r="F14" s="15"/>
    </row>
    <row r="15" customFormat="false" ht="21.75" hidden="false" customHeight="true" outlineLevel="0" collapsed="false">
      <c r="A15" s="6" t="s">
        <v>71</v>
      </c>
      <c r="B15" s="6" t="s">
        <v>72</v>
      </c>
      <c r="C15" s="6" t="s">
        <v>73</v>
      </c>
      <c r="D15" s="6" t="s">
        <v>74</v>
      </c>
      <c r="E15" s="6" t="s">
        <v>75</v>
      </c>
      <c r="F15" s="6" t="s">
        <v>76</v>
      </c>
    </row>
    <row r="16" customFormat="false" ht="15" hidden="false" customHeight="true" outlineLevel="0" collapsed="false">
      <c r="A16" s="10" t="s">
        <v>77</v>
      </c>
      <c r="B16" s="12" t="s">
        <v>78</v>
      </c>
      <c r="C16" s="11" t="n">
        <f aca="false">COUNTIF(Sprints!C4:C16,"P0")</f>
        <v>1</v>
      </c>
      <c r="D16" s="16" t="n">
        <v>1</v>
      </c>
      <c r="E16" s="16" t="n">
        <v>1</v>
      </c>
      <c r="F16" s="16" t="s">
        <v>79</v>
      </c>
    </row>
    <row r="17" customFormat="false" ht="15" hidden="false" customHeight="true" outlineLevel="0" collapsed="false">
      <c r="A17" s="13" t="s">
        <v>80</v>
      </c>
      <c r="B17" s="8" t="s">
        <v>81</v>
      </c>
      <c r="C17" s="14" t="n">
        <f aca="false">COUNTIF(Sprints!C4:C16,"P1")</f>
        <v>3</v>
      </c>
      <c r="D17" s="5" t="n">
        <v>2</v>
      </c>
      <c r="E17" s="5" t="n">
        <v>4</v>
      </c>
      <c r="F17" s="5" t="s">
        <v>82</v>
      </c>
    </row>
    <row r="18" customFormat="false" ht="15" hidden="false" customHeight="true" outlineLevel="0" collapsed="false">
      <c r="A18" s="10" t="s">
        <v>83</v>
      </c>
      <c r="B18" s="12" t="s">
        <v>84</v>
      </c>
      <c r="C18" s="11" t="n">
        <f aca="false">COUNTIF(Sprints!C4:C16,"P2")</f>
        <v>3</v>
      </c>
      <c r="D18" s="16" t="n">
        <v>5</v>
      </c>
      <c r="E18" s="16" t="n">
        <v>7</v>
      </c>
      <c r="F18" s="16" t="s">
        <v>85</v>
      </c>
    </row>
    <row r="19" customFormat="false" ht="15" hidden="false" customHeight="true" outlineLevel="0" collapsed="false">
      <c r="A19" s="13" t="s">
        <v>86</v>
      </c>
      <c r="B19" s="8" t="s">
        <v>87</v>
      </c>
      <c r="C19" s="14" t="n">
        <f aca="false">COUNTIF(Sprints!C4:C16,"P3")</f>
        <v>2</v>
      </c>
      <c r="D19" s="5" t="n">
        <v>8</v>
      </c>
      <c r="E19" s="5" t="n">
        <v>9</v>
      </c>
      <c r="F19" s="5" t="s">
        <v>88</v>
      </c>
    </row>
    <row r="20" customFormat="false" ht="15" hidden="false" customHeight="true" outlineLevel="0" collapsed="false">
      <c r="A20" s="10" t="s">
        <v>89</v>
      </c>
      <c r="B20" s="12" t="s">
        <v>90</v>
      </c>
      <c r="C20" s="11" t="n">
        <f aca="false">COUNTIF(Sprints!C4:C16,"P4")</f>
        <v>2</v>
      </c>
      <c r="D20" s="16" t="n">
        <v>10</v>
      </c>
      <c r="E20" s="16" t="n">
        <v>11</v>
      </c>
      <c r="F20" s="16" t="s">
        <v>91</v>
      </c>
    </row>
    <row r="21" customFormat="false" ht="23.25" hidden="false" customHeight="true" outlineLevel="0" collapsed="false">
      <c r="A21" s="13" t="s">
        <v>92</v>
      </c>
      <c r="B21" s="8" t="s">
        <v>93</v>
      </c>
      <c r="C21" s="14" t="n">
        <f aca="false">COUNTIF(Sprints!C4:C16,"P5")</f>
        <v>2</v>
      </c>
      <c r="D21" s="5" t="n">
        <v>12</v>
      </c>
      <c r="E21" s="5" t="n">
        <v>13</v>
      </c>
      <c r="F21" s="5" t="s">
        <v>94</v>
      </c>
    </row>
  </sheetData>
  <mergeCells count="2">
    <mergeCell ref="A1:F1"/>
    <mergeCell ref="A14:F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28"/>
    <col collapsed="false" customWidth="true" hidden="false" outlineLevel="0" max="6" min="3" style="1" width="14"/>
    <col collapsed="false" customWidth="true" hidden="false" outlineLevel="0" max="7" min="7" style="1" width="70"/>
  </cols>
  <sheetData>
    <row r="1" customFormat="false" ht="21.75" hidden="false" customHeight="true" outlineLevel="0" collapsed="false">
      <c r="A1" s="9" t="s">
        <v>24</v>
      </c>
      <c r="B1" s="9"/>
      <c r="C1" s="9"/>
      <c r="D1" s="9"/>
      <c r="E1" s="9"/>
      <c r="F1" s="9"/>
      <c r="G1" s="9"/>
    </row>
    <row r="3" customFormat="false" ht="21.75" hidden="false" customHeight="true" outlineLevel="0" collapsed="false">
      <c r="A3" s="6" t="s">
        <v>71</v>
      </c>
      <c r="B3" s="6" t="s">
        <v>95</v>
      </c>
      <c r="C3" s="6" t="s">
        <v>74</v>
      </c>
      <c r="D3" s="6" t="s">
        <v>75</v>
      </c>
      <c r="E3" s="6" t="s">
        <v>96</v>
      </c>
      <c r="F3" s="6" t="s">
        <v>97</v>
      </c>
      <c r="G3" s="6" t="s">
        <v>98</v>
      </c>
    </row>
    <row r="4" customFormat="false" ht="23.25" hidden="false" customHeight="true" outlineLevel="0" collapsed="false">
      <c r="A4" s="10" t="s">
        <v>77</v>
      </c>
      <c r="B4" s="12" t="s">
        <v>78</v>
      </c>
      <c r="C4" s="16" t="n">
        <v>1</v>
      </c>
      <c r="D4" s="16" t="n">
        <v>1</v>
      </c>
      <c r="E4" s="16" t="s">
        <v>11</v>
      </c>
      <c r="F4" s="16" t="s">
        <v>99</v>
      </c>
      <c r="G4" s="12" t="s">
        <v>100</v>
      </c>
    </row>
    <row r="5" customFormat="false" ht="15" hidden="false" customHeight="true" outlineLevel="0" collapsed="false">
      <c r="A5" s="13" t="s">
        <v>80</v>
      </c>
      <c r="B5" s="8" t="s">
        <v>81</v>
      </c>
      <c r="C5" s="5" t="n">
        <v>2</v>
      </c>
      <c r="D5" s="5" t="n">
        <v>4</v>
      </c>
      <c r="E5" s="5" t="s">
        <v>101</v>
      </c>
      <c r="F5" s="5" t="s">
        <v>102</v>
      </c>
      <c r="G5" s="8" t="s">
        <v>103</v>
      </c>
    </row>
    <row r="6" customFormat="false" ht="23.25" hidden="false" customHeight="true" outlineLevel="0" collapsed="false">
      <c r="A6" s="10" t="s">
        <v>83</v>
      </c>
      <c r="B6" s="12" t="s">
        <v>84</v>
      </c>
      <c r="C6" s="16" t="n">
        <v>5</v>
      </c>
      <c r="D6" s="16" t="n">
        <v>7</v>
      </c>
      <c r="E6" s="16" t="s">
        <v>104</v>
      </c>
      <c r="F6" s="16" t="s">
        <v>105</v>
      </c>
      <c r="G6" s="12" t="s">
        <v>106</v>
      </c>
    </row>
    <row r="7" customFormat="false" ht="15" hidden="false" customHeight="true" outlineLevel="0" collapsed="false">
      <c r="A7" s="13" t="s">
        <v>86</v>
      </c>
      <c r="B7" s="8" t="s">
        <v>87</v>
      </c>
      <c r="C7" s="5" t="n">
        <v>8</v>
      </c>
      <c r="D7" s="5" t="n">
        <v>9</v>
      </c>
      <c r="E7" s="5" t="s">
        <v>107</v>
      </c>
      <c r="F7" s="5" t="s">
        <v>108</v>
      </c>
      <c r="G7" s="8" t="s">
        <v>109</v>
      </c>
    </row>
    <row r="8" customFormat="false" ht="23.25" hidden="false" customHeight="true" outlineLevel="0" collapsed="false">
      <c r="A8" s="10" t="s">
        <v>89</v>
      </c>
      <c r="B8" s="12" t="s">
        <v>90</v>
      </c>
      <c r="C8" s="16" t="n">
        <v>10</v>
      </c>
      <c r="D8" s="16" t="n">
        <v>11</v>
      </c>
      <c r="E8" s="16" t="s">
        <v>110</v>
      </c>
      <c r="F8" s="16" t="s">
        <v>111</v>
      </c>
      <c r="G8" s="12" t="s">
        <v>112</v>
      </c>
    </row>
    <row r="9" customFormat="false" ht="23.25" hidden="false" customHeight="true" outlineLevel="0" collapsed="false">
      <c r="A9" s="13" t="s">
        <v>92</v>
      </c>
      <c r="B9" s="8" t="s">
        <v>93</v>
      </c>
      <c r="C9" s="5" t="n">
        <v>12</v>
      </c>
      <c r="D9" s="5" t="n">
        <v>13</v>
      </c>
      <c r="E9" s="5" t="s">
        <v>113</v>
      </c>
      <c r="F9" s="5" t="s">
        <v>13</v>
      </c>
      <c r="G9" s="8" t="s">
        <v>114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32"/>
    <col collapsed="false" customWidth="true" hidden="false" outlineLevel="0" max="3" min="3" style="1" width="8"/>
    <col collapsed="false" customWidth="true" hidden="false" outlineLevel="0" max="5" min="4" style="1" width="14"/>
    <col collapsed="false" customWidth="true" hidden="false" outlineLevel="0" max="6" min="6" style="1" width="40"/>
    <col collapsed="false" customWidth="true" hidden="false" outlineLevel="0" max="7" min="7" style="1" width="50"/>
    <col collapsed="false" customWidth="true" hidden="false" outlineLevel="0" max="8" min="8" style="1" width="22"/>
    <col collapsed="false" customWidth="true" hidden="false" outlineLevel="0" max="9" min="9" style="1" width="14"/>
  </cols>
  <sheetData>
    <row r="1" customFormat="false" ht="21.75" hidden="false" customHeight="true" outlineLevel="0" collapsed="false">
      <c r="A1" s="9" t="s">
        <v>115</v>
      </c>
      <c r="B1" s="9"/>
      <c r="C1" s="9"/>
      <c r="D1" s="9"/>
      <c r="E1" s="9"/>
      <c r="F1" s="9"/>
      <c r="G1" s="9"/>
      <c r="H1" s="9"/>
      <c r="I1" s="9"/>
    </row>
    <row r="3" customFormat="false" ht="21.75" hidden="false" customHeight="true" outlineLevel="0" collapsed="false">
      <c r="A3" s="6" t="s">
        <v>116</v>
      </c>
      <c r="B3" s="6" t="s">
        <v>95</v>
      </c>
      <c r="C3" s="6" t="s">
        <v>117</v>
      </c>
      <c r="D3" s="6" t="s">
        <v>96</v>
      </c>
      <c r="E3" s="6" t="s">
        <v>97</v>
      </c>
      <c r="F3" s="6" t="s">
        <v>118</v>
      </c>
      <c r="G3" s="6" t="s">
        <v>119</v>
      </c>
      <c r="H3" s="6" t="s">
        <v>120</v>
      </c>
      <c r="I3" s="6" t="s">
        <v>121</v>
      </c>
    </row>
    <row r="4" customFormat="false" ht="23.25" hidden="false" customHeight="true" outlineLevel="0" collapsed="false">
      <c r="A4" s="10" t="n">
        <v>1</v>
      </c>
      <c r="B4" s="12" t="s">
        <v>78</v>
      </c>
      <c r="C4" s="10" t="s">
        <v>77</v>
      </c>
      <c r="D4" s="16" t="s">
        <v>11</v>
      </c>
      <c r="E4" s="16" t="s">
        <v>99</v>
      </c>
      <c r="F4" s="12" t="s">
        <v>122</v>
      </c>
      <c r="G4" s="12" t="s">
        <v>123</v>
      </c>
      <c r="H4" s="12" t="s">
        <v>124</v>
      </c>
      <c r="I4" s="10" t="s">
        <v>47</v>
      </c>
    </row>
    <row r="5" customFormat="false" ht="15" hidden="false" customHeight="true" outlineLevel="0" collapsed="false">
      <c r="A5" s="13" t="n">
        <v>2</v>
      </c>
      <c r="B5" s="8" t="s">
        <v>125</v>
      </c>
      <c r="C5" s="13" t="s">
        <v>80</v>
      </c>
      <c r="D5" s="5" t="s">
        <v>101</v>
      </c>
      <c r="E5" s="5" t="s">
        <v>126</v>
      </c>
      <c r="F5" s="8" t="s">
        <v>127</v>
      </c>
      <c r="G5" s="8" t="s">
        <v>128</v>
      </c>
      <c r="H5" s="8" t="s">
        <v>129</v>
      </c>
      <c r="I5" s="10" t="s">
        <v>47</v>
      </c>
    </row>
    <row r="6" customFormat="false" ht="23.25" hidden="false" customHeight="true" outlineLevel="0" collapsed="false">
      <c r="A6" s="10" t="n">
        <v>3</v>
      </c>
      <c r="B6" s="12" t="s">
        <v>130</v>
      </c>
      <c r="C6" s="10" t="s">
        <v>80</v>
      </c>
      <c r="D6" s="16" t="s">
        <v>131</v>
      </c>
      <c r="E6" s="16" t="s">
        <v>132</v>
      </c>
      <c r="F6" s="12" t="s">
        <v>133</v>
      </c>
      <c r="G6" s="12" t="s">
        <v>134</v>
      </c>
      <c r="H6" s="12" t="s">
        <v>129</v>
      </c>
      <c r="I6" s="10" t="s">
        <v>47</v>
      </c>
    </row>
    <row r="7" customFormat="false" ht="15" hidden="false" customHeight="true" outlineLevel="0" collapsed="false">
      <c r="A7" s="13" t="n">
        <v>4</v>
      </c>
      <c r="B7" s="8" t="s">
        <v>135</v>
      </c>
      <c r="C7" s="13" t="s">
        <v>80</v>
      </c>
      <c r="D7" s="5" t="s">
        <v>136</v>
      </c>
      <c r="E7" s="5" t="s">
        <v>102</v>
      </c>
      <c r="F7" s="8" t="s">
        <v>137</v>
      </c>
      <c r="G7" s="8" t="s">
        <v>138</v>
      </c>
      <c r="H7" s="8" t="s">
        <v>129</v>
      </c>
      <c r="I7" s="10" t="s">
        <v>47</v>
      </c>
    </row>
    <row r="8" customFormat="false" ht="23.25" hidden="false" customHeight="true" outlineLevel="0" collapsed="false">
      <c r="A8" s="10" t="n">
        <v>5</v>
      </c>
      <c r="B8" s="12" t="s">
        <v>139</v>
      </c>
      <c r="C8" s="10" t="s">
        <v>83</v>
      </c>
      <c r="D8" s="16" t="s">
        <v>104</v>
      </c>
      <c r="E8" s="16" t="s">
        <v>140</v>
      </c>
      <c r="F8" s="12" t="s">
        <v>141</v>
      </c>
      <c r="G8" s="12" t="s">
        <v>142</v>
      </c>
      <c r="H8" s="12" t="s">
        <v>124</v>
      </c>
      <c r="I8" s="10" t="s">
        <v>47</v>
      </c>
    </row>
    <row r="9" customFormat="false" ht="23.25" hidden="false" customHeight="true" outlineLevel="0" collapsed="false">
      <c r="A9" s="13" t="n">
        <v>6</v>
      </c>
      <c r="B9" s="8" t="s">
        <v>143</v>
      </c>
      <c r="C9" s="13" t="s">
        <v>83</v>
      </c>
      <c r="D9" s="5" t="s">
        <v>144</v>
      </c>
      <c r="E9" s="5" t="s">
        <v>145</v>
      </c>
      <c r="F9" s="8" t="s">
        <v>146</v>
      </c>
      <c r="G9" s="8" t="s">
        <v>147</v>
      </c>
      <c r="H9" s="8" t="s">
        <v>124</v>
      </c>
      <c r="I9" s="10" t="s">
        <v>47</v>
      </c>
    </row>
    <row r="10" customFormat="false" ht="23.25" hidden="false" customHeight="true" outlineLevel="0" collapsed="false">
      <c r="A10" s="10" t="n">
        <v>7</v>
      </c>
      <c r="B10" s="12" t="s">
        <v>148</v>
      </c>
      <c r="C10" s="10" t="s">
        <v>83</v>
      </c>
      <c r="D10" s="16" t="s">
        <v>149</v>
      </c>
      <c r="E10" s="16" t="s">
        <v>105</v>
      </c>
      <c r="F10" s="12" t="s">
        <v>150</v>
      </c>
      <c r="G10" s="12" t="s">
        <v>151</v>
      </c>
      <c r="H10" s="12" t="s">
        <v>124</v>
      </c>
      <c r="I10" s="10" t="s">
        <v>47</v>
      </c>
    </row>
    <row r="11" customFormat="false" ht="15" hidden="false" customHeight="true" outlineLevel="0" collapsed="false">
      <c r="A11" s="13" t="n">
        <v>8</v>
      </c>
      <c r="B11" s="8" t="s">
        <v>152</v>
      </c>
      <c r="C11" s="13" t="s">
        <v>86</v>
      </c>
      <c r="D11" s="5" t="s">
        <v>107</v>
      </c>
      <c r="E11" s="5" t="s">
        <v>153</v>
      </c>
      <c r="F11" s="8" t="s">
        <v>154</v>
      </c>
      <c r="G11" s="8" t="s">
        <v>155</v>
      </c>
      <c r="H11" s="8" t="s">
        <v>129</v>
      </c>
      <c r="I11" s="10" t="s">
        <v>47</v>
      </c>
    </row>
    <row r="12" customFormat="false" ht="15" hidden="false" customHeight="true" outlineLevel="0" collapsed="false">
      <c r="A12" s="10" t="n">
        <v>9</v>
      </c>
      <c r="B12" s="12" t="s">
        <v>156</v>
      </c>
      <c r="C12" s="10" t="s">
        <v>86</v>
      </c>
      <c r="D12" s="16" t="s">
        <v>157</v>
      </c>
      <c r="E12" s="16" t="s">
        <v>108</v>
      </c>
      <c r="F12" s="12" t="s">
        <v>158</v>
      </c>
      <c r="G12" s="12" t="s">
        <v>159</v>
      </c>
      <c r="H12" s="12" t="s">
        <v>129</v>
      </c>
      <c r="I12" s="10" t="s">
        <v>47</v>
      </c>
    </row>
    <row r="13" customFormat="false" ht="23.25" hidden="false" customHeight="true" outlineLevel="0" collapsed="false">
      <c r="A13" s="13" t="n">
        <v>10</v>
      </c>
      <c r="B13" s="8" t="s">
        <v>160</v>
      </c>
      <c r="C13" s="13" t="s">
        <v>89</v>
      </c>
      <c r="D13" s="5" t="s">
        <v>110</v>
      </c>
      <c r="E13" s="5" t="s">
        <v>161</v>
      </c>
      <c r="F13" s="8" t="s">
        <v>162</v>
      </c>
      <c r="G13" s="8" t="s">
        <v>163</v>
      </c>
      <c r="H13" s="8" t="s">
        <v>124</v>
      </c>
      <c r="I13" s="10" t="s">
        <v>47</v>
      </c>
    </row>
    <row r="14" customFormat="false" ht="15" hidden="false" customHeight="true" outlineLevel="0" collapsed="false">
      <c r="A14" s="10" t="n">
        <v>11</v>
      </c>
      <c r="B14" s="12" t="s">
        <v>164</v>
      </c>
      <c r="C14" s="10" t="s">
        <v>89</v>
      </c>
      <c r="D14" s="16" t="s">
        <v>165</v>
      </c>
      <c r="E14" s="16" t="s">
        <v>111</v>
      </c>
      <c r="F14" s="12" t="s">
        <v>166</v>
      </c>
      <c r="G14" s="12" t="s">
        <v>167</v>
      </c>
      <c r="H14" s="12" t="s">
        <v>124</v>
      </c>
      <c r="I14" s="10" t="s">
        <v>47</v>
      </c>
    </row>
    <row r="15" customFormat="false" ht="23.25" hidden="false" customHeight="true" outlineLevel="0" collapsed="false">
      <c r="A15" s="13" t="n">
        <v>12</v>
      </c>
      <c r="B15" s="8" t="s">
        <v>168</v>
      </c>
      <c r="C15" s="13" t="s">
        <v>92</v>
      </c>
      <c r="D15" s="5" t="s">
        <v>113</v>
      </c>
      <c r="E15" s="5" t="s">
        <v>169</v>
      </c>
      <c r="F15" s="8" t="s">
        <v>170</v>
      </c>
      <c r="G15" s="8" t="s">
        <v>171</v>
      </c>
      <c r="H15" s="8" t="s">
        <v>124</v>
      </c>
      <c r="I15" s="10" t="s">
        <v>47</v>
      </c>
    </row>
    <row r="16" customFormat="false" ht="23.25" hidden="false" customHeight="true" outlineLevel="0" collapsed="false">
      <c r="A16" s="10" t="n">
        <v>13</v>
      </c>
      <c r="B16" s="12" t="s">
        <v>172</v>
      </c>
      <c r="C16" s="10" t="s">
        <v>92</v>
      </c>
      <c r="D16" s="16" t="s">
        <v>173</v>
      </c>
      <c r="E16" s="16" t="s">
        <v>13</v>
      </c>
      <c r="F16" s="12" t="s">
        <v>174</v>
      </c>
      <c r="G16" s="12" t="s">
        <v>175</v>
      </c>
      <c r="H16" s="12" t="s">
        <v>124</v>
      </c>
      <c r="I16" s="10" t="s">
        <v>47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40"/>
    <col collapsed="false" customWidth="true" hidden="false" outlineLevel="0" max="3" min="3" style="0" width="18"/>
    <col collapsed="false" customWidth="true" hidden="false" outlineLevel="0" max="4" min="4" style="0" width="22"/>
    <col collapsed="false" customWidth="true" hidden="false" outlineLevel="0" max="5" min="5" style="0" width="42"/>
    <col collapsed="false" customWidth="true" hidden="false" outlineLevel="0" max="6" min="6" style="0" width="60"/>
  </cols>
  <sheetData>
    <row r="1" customFormat="false" ht="17.35" hidden="false" customHeight="false" outlineLevel="0" collapsed="false">
      <c r="A1" s="17" t="s">
        <v>176</v>
      </c>
      <c r="B1" s="17"/>
      <c r="C1" s="17"/>
      <c r="D1" s="17"/>
      <c r="E1" s="17"/>
      <c r="F1" s="17"/>
    </row>
    <row r="2" customFormat="false" ht="27.75" hidden="false" customHeight="true" outlineLevel="0" collapsed="false">
      <c r="A2" s="18" t="s">
        <v>177</v>
      </c>
      <c r="B2" s="18"/>
      <c r="C2" s="18"/>
      <c r="D2" s="18"/>
      <c r="E2" s="18"/>
      <c r="F2" s="18"/>
    </row>
    <row r="3" customFormat="false" ht="21.75" hidden="false" customHeight="true" outlineLevel="0" collapsed="false">
      <c r="A3" s="19" t="s">
        <v>178</v>
      </c>
      <c r="B3" s="19"/>
      <c r="C3" s="19"/>
      <c r="D3" s="19"/>
      <c r="E3" s="19"/>
      <c r="F3" s="19"/>
    </row>
    <row r="5" customFormat="false" ht="21.75" hidden="false" customHeight="true" outlineLevel="0" collapsed="false">
      <c r="A5" s="6" t="s">
        <v>179</v>
      </c>
      <c r="B5" s="6" t="s">
        <v>180</v>
      </c>
      <c r="C5" s="6" t="s">
        <v>181</v>
      </c>
      <c r="D5" s="6" t="s">
        <v>182</v>
      </c>
      <c r="E5" s="6" t="s">
        <v>183</v>
      </c>
      <c r="F5" s="6" t="s">
        <v>184</v>
      </c>
    </row>
    <row r="6" customFormat="false" ht="15" hidden="false" customHeight="false" outlineLevel="0" collapsed="false">
      <c r="A6" s="20" t="s">
        <v>185</v>
      </c>
      <c r="B6" s="20" t="s">
        <v>186</v>
      </c>
      <c r="C6" s="21" t="s">
        <v>187</v>
      </c>
      <c r="D6" s="20" t="s">
        <v>188</v>
      </c>
      <c r="E6" s="20" t="s">
        <v>189</v>
      </c>
      <c r="F6" s="20" t="s">
        <v>190</v>
      </c>
    </row>
    <row r="7" customFormat="false" ht="15" hidden="false" customHeight="false" outlineLevel="0" collapsed="false">
      <c r="A7" s="20" t="s">
        <v>185</v>
      </c>
      <c r="B7" s="20" t="s">
        <v>191</v>
      </c>
      <c r="C7" s="22" t="s">
        <v>192</v>
      </c>
      <c r="D7" s="20" t="s">
        <v>193</v>
      </c>
      <c r="E7" s="20" t="s">
        <v>194</v>
      </c>
      <c r="F7" s="20" t="s">
        <v>195</v>
      </c>
    </row>
    <row r="8" customFormat="false" ht="15" hidden="false" customHeight="false" outlineLevel="0" collapsed="false">
      <c r="A8" s="20" t="s">
        <v>185</v>
      </c>
      <c r="B8" s="20" t="s">
        <v>196</v>
      </c>
      <c r="C8" s="21" t="s">
        <v>187</v>
      </c>
      <c r="D8" s="20" t="s">
        <v>197</v>
      </c>
      <c r="E8" s="20" t="s">
        <v>198</v>
      </c>
      <c r="F8" s="20" t="s">
        <v>199</v>
      </c>
    </row>
    <row r="9" customFormat="false" ht="15" hidden="false" customHeight="false" outlineLevel="0" collapsed="false">
      <c r="A9" s="20" t="s">
        <v>185</v>
      </c>
      <c r="B9" s="20" t="s">
        <v>200</v>
      </c>
      <c r="C9" s="22" t="s">
        <v>192</v>
      </c>
      <c r="D9" s="20" t="s">
        <v>193</v>
      </c>
      <c r="E9" s="20" t="s">
        <v>201</v>
      </c>
      <c r="F9" s="20" t="s">
        <v>202</v>
      </c>
    </row>
    <row r="10" customFormat="false" ht="15" hidden="false" customHeight="false" outlineLevel="0" collapsed="false">
      <c r="A10" s="20" t="s">
        <v>185</v>
      </c>
      <c r="B10" s="20" t="s">
        <v>203</v>
      </c>
      <c r="C10" s="21" t="s">
        <v>187</v>
      </c>
      <c r="D10" s="20" t="s">
        <v>204</v>
      </c>
      <c r="E10" s="20" t="s">
        <v>205</v>
      </c>
      <c r="F10" s="20" t="s">
        <v>206</v>
      </c>
    </row>
    <row r="11" customFormat="false" ht="15" hidden="false" customHeight="false" outlineLevel="0" collapsed="false">
      <c r="A11" s="20" t="s">
        <v>185</v>
      </c>
      <c r="B11" s="20" t="s">
        <v>207</v>
      </c>
      <c r="C11" s="21" t="s">
        <v>187</v>
      </c>
      <c r="D11" s="20" t="s">
        <v>188</v>
      </c>
      <c r="E11" s="20" t="s">
        <v>208</v>
      </c>
      <c r="F11" s="20" t="s">
        <v>209</v>
      </c>
    </row>
    <row r="12" customFormat="false" ht="15" hidden="false" customHeight="false" outlineLevel="0" collapsed="false">
      <c r="A12" s="20" t="s">
        <v>185</v>
      </c>
      <c r="B12" s="20" t="s">
        <v>210</v>
      </c>
      <c r="C12" s="22" t="s">
        <v>192</v>
      </c>
      <c r="D12" s="20" t="s">
        <v>193</v>
      </c>
      <c r="E12" s="20" t="s">
        <v>211</v>
      </c>
      <c r="F12" s="20" t="s">
        <v>212</v>
      </c>
    </row>
    <row r="13" customFormat="false" ht="23.85" hidden="false" customHeight="false" outlineLevel="0" collapsed="false">
      <c r="A13" s="20" t="s">
        <v>185</v>
      </c>
      <c r="B13" s="20" t="s">
        <v>213</v>
      </c>
      <c r="C13" s="23" t="s">
        <v>214</v>
      </c>
      <c r="D13" s="20" t="s">
        <v>215</v>
      </c>
      <c r="E13" s="20" t="s">
        <v>216</v>
      </c>
      <c r="F13" s="20" t="s">
        <v>217</v>
      </c>
    </row>
    <row r="14" customFormat="false" ht="15" hidden="false" customHeight="false" outlineLevel="0" collapsed="false">
      <c r="A14" s="20" t="s">
        <v>218</v>
      </c>
      <c r="B14" s="20" t="s">
        <v>219</v>
      </c>
      <c r="C14" s="24" t="s">
        <v>220</v>
      </c>
      <c r="D14" s="20" t="s">
        <v>188</v>
      </c>
      <c r="E14" s="20" t="s">
        <v>221</v>
      </c>
      <c r="F14" s="20" t="s">
        <v>222</v>
      </c>
    </row>
    <row r="15" customFormat="false" ht="15" hidden="false" customHeight="false" outlineLevel="0" collapsed="false">
      <c r="A15" s="20" t="s">
        <v>218</v>
      </c>
      <c r="B15" s="20" t="s">
        <v>223</v>
      </c>
      <c r="C15" s="22" t="s">
        <v>192</v>
      </c>
      <c r="D15" s="20" t="s">
        <v>193</v>
      </c>
      <c r="E15" s="20" t="s">
        <v>224</v>
      </c>
      <c r="F15" s="20" t="s">
        <v>225</v>
      </c>
    </row>
    <row r="16" customFormat="false" ht="15" hidden="false" customHeight="false" outlineLevel="0" collapsed="false">
      <c r="A16" s="20" t="s">
        <v>218</v>
      </c>
      <c r="B16" s="20" t="s">
        <v>226</v>
      </c>
      <c r="C16" s="21" t="s">
        <v>187</v>
      </c>
      <c r="D16" s="20" t="s">
        <v>227</v>
      </c>
      <c r="E16" s="20" t="s">
        <v>228</v>
      </c>
      <c r="F16" s="20" t="s">
        <v>229</v>
      </c>
    </row>
    <row r="17" customFormat="false" ht="15" hidden="false" customHeight="false" outlineLevel="0" collapsed="false">
      <c r="A17" s="20" t="s">
        <v>218</v>
      </c>
      <c r="B17" s="20" t="s">
        <v>230</v>
      </c>
      <c r="C17" s="22" t="s">
        <v>192</v>
      </c>
      <c r="D17" s="20" t="s">
        <v>193</v>
      </c>
      <c r="E17" s="20" t="s">
        <v>231</v>
      </c>
      <c r="F17" s="20" t="s">
        <v>232</v>
      </c>
    </row>
    <row r="18" customFormat="false" ht="15" hidden="false" customHeight="false" outlineLevel="0" collapsed="false">
      <c r="A18" s="20" t="s">
        <v>218</v>
      </c>
      <c r="B18" s="20" t="s">
        <v>233</v>
      </c>
      <c r="C18" s="22" t="s">
        <v>192</v>
      </c>
      <c r="D18" s="20" t="s">
        <v>193</v>
      </c>
      <c r="E18" s="20" t="s">
        <v>234</v>
      </c>
      <c r="F18" s="20" t="s">
        <v>235</v>
      </c>
    </row>
    <row r="19" customFormat="false" ht="15" hidden="false" customHeight="false" outlineLevel="0" collapsed="false">
      <c r="A19" s="20" t="s">
        <v>218</v>
      </c>
      <c r="B19" s="20" t="s">
        <v>236</v>
      </c>
      <c r="C19" s="23" t="s">
        <v>214</v>
      </c>
      <c r="D19" s="20" t="s">
        <v>188</v>
      </c>
      <c r="E19" s="20" t="s">
        <v>237</v>
      </c>
      <c r="F19" s="20" t="s">
        <v>238</v>
      </c>
    </row>
    <row r="20" customFormat="false" ht="15" hidden="false" customHeight="false" outlineLevel="0" collapsed="false">
      <c r="A20" s="20" t="s">
        <v>239</v>
      </c>
      <c r="B20" s="20" t="s">
        <v>240</v>
      </c>
      <c r="C20" s="25" t="s">
        <v>241</v>
      </c>
      <c r="D20" s="20" t="s">
        <v>242</v>
      </c>
      <c r="E20" s="20" t="s">
        <v>243</v>
      </c>
      <c r="F20" s="20" t="s">
        <v>244</v>
      </c>
    </row>
    <row r="21" customFormat="false" ht="15" hidden="false" customHeight="false" outlineLevel="0" collapsed="false">
      <c r="A21" s="20" t="s">
        <v>239</v>
      </c>
      <c r="B21" s="20" t="s">
        <v>245</v>
      </c>
      <c r="C21" s="25" t="s">
        <v>241</v>
      </c>
      <c r="D21" s="20" t="s">
        <v>242</v>
      </c>
      <c r="E21" s="20" t="s">
        <v>246</v>
      </c>
      <c r="F21" s="20" t="s">
        <v>247</v>
      </c>
    </row>
    <row r="22" customFormat="false" ht="15" hidden="false" customHeight="false" outlineLevel="0" collapsed="false">
      <c r="A22" s="20" t="s">
        <v>239</v>
      </c>
      <c r="B22" s="20" t="s">
        <v>248</v>
      </c>
      <c r="C22" s="25" t="s">
        <v>241</v>
      </c>
      <c r="D22" s="20" t="s">
        <v>242</v>
      </c>
      <c r="E22" s="20" t="s">
        <v>249</v>
      </c>
      <c r="F22" s="20" t="s">
        <v>250</v>
      </c>
    </row>
    <row r="23" customFormat="false" ht="23.85" hidden="false" customHeight="false" outlineLevel="0" collapsed="false">
      <c r="A23" s="20" t="s">
        <v>239</v>
      </c>
      <c r="B23" s="20" t="s">
        <v>251</v>
      </c>
      <c r="C23" s="21" t="s">
        <v>187</v>
      </c>
      <c r="D23" s="20" t="s">
        <v>252</v>
      </c>
      <c r="E23" s="20" t="s">
        <v>253</v>
      </c>
      <c r="F23" s="20" t="s">
        <v>254</v>
      </c>
    </row>
    <row r="24" customFormat="false" ht="15" hidden="false" customHeight="false" outlineLevel="0" collapsed="false">
      <c r="A24" s="20" t="s">
        <v>239</v>
      </c>
      <c r="B24" s="20" t="s">
        <v>255</v>
      </c>
      <c r="C24" s="22" t="s">
        <v>192</v>
      </c>
      <c r="D24" s="20" t="s">
        <v>193</v>
      </c>
      <c r="E24" s="20" t="s">
        <v>256</v>
      </c>
      <c r="F24" s="20" t="s">
        <v>257</v>
      </c>
    </row>
    <row r="25" customFormat="false" ht="15" hidden="false" customHeight="false" outlineLevel="0" collapsed="false">
      <c r="A25" s="20" t="s">
        <v>239</v>
      </c>
      <c r="B25" s="20" t="s">
        <v>258</v>
      </c>
      <c r="C25" s="21" t="s">
        <v>187</v>
      </c>
      <c r="D25" s="20" t="s">
        <v>259</v>
      </c>
      <c r="E25" s="20" t="s">
        <v>260</v>
      </c>
      <c r="F25" s="20" t="s">
        <v>261</v>
      </c>
    </row>
    <row r="26" customFormat="false" ht="15" hidden="false" customHeight="false" outlineLevel="0" collapsed="false">
      <c r="A26" s="20" t="s">
        <v>239</v>
      </c>
      <c r="B26" s="20" t="s">
        <v>262</v>
      </c>
      <c r="C26" s="22" t="s">
        <v>192</v>
      </c>
      <c r="D26" s="20" t="s">
        <v>193</v>
      </c>
      <c r="E26" s="20" t="s">
        <v>263</v>
      </c>
      <c r="F26" s="20" t="s">
        <v>264</v>
      </c>
    </row>
    <row r="27" customFormat="false" ht="15" hidden="false" customHeight="false" outlineLevel="0" collapsed="false">
      <c r="A27" s="20" t="s">
        <v>265</v>
      </c>
      <c r="B27" s="20" t="s">
        <v>266</v>
      </c>
      <c r="C27" s="22" t="s">
        <v>192</v>
      </c>
      <c r="D27" s="20" t="s">
        <v>193</v>
      </c>
      <c r="E27" s="20" t="s">
        <v>267</v>
      </c>
      <c r="F27" s="20" t="s">
        <v>268</v>
      </c>
    </row>
    <row r="28" customFormat="false" ht="15" hidden="false" customHeight="false" outlineLevel="0" collapsed="false">
      <c r="A28" s="20" t="s">
        <v>265</v>
      </c>
      <c r="B28" s="20" t="s">
        <v>269</v>
      </c>
      <c r="C28" s="21" t="s">
        <v>187</v>
      </c>
      <c r="D28" s="20" t="s">
        <v>270</v>
      </c>
      <c r="E28" s="20" t="s">
        <v>271</v>
      </c>
      <c r="F28" s="20" t="s">
        <v>272</v>
      </c>
    </row>
    <row r="29" customFormat="false" ht="15" hidden="false" customHeight="false" outlineLevel="0" collapsed="false">
      <c r="A29" s="20" t="s">
        <v>265</v>
      </c>
      <c r="B29" s="20" t="s">
        <v>273</v>
      </c>
      <c r="C29" s="22" t="s">
        <v>192</v>
      </c>
      <c r="D29" s="20" t="s">
        <v>193</v>
      </c>
      <c r="E29" s="20" t="s">
        <v>274</v>
      </c>
      <c r="F29" s="20" t="s">
        <v>275</v>
      </c>
    </row>
    <row r="30" customFormat="false" ht="15" hidden="false" customHeight="false" outlineLevel="0" collapsed="false">
      <c r="A30" s="20" t="s">
        <v>265</v>
      </c>
      <c r="B30" s="20" t="s">
        <v>276</v>
      </c>
      <c r="C30" s="22" t="s">
        <v>192</v>
      </c>
      <c r="D30" s="20" t="s">
        <v>193</v>
      </c>
      <c r="E30" s="20" t="s">
        <v>277</v>
      </c>
      <c r="F30" s="20" t="s">
        <v>278</v>
      </c>
    </row>
    <row r="31" customFormat="false" ht="15" hidden="false" customHeight="false" outlineLevel="0" collapsed="false">
      <c r="A31" s="20" t="s">
        <v>265</v>
      </c>
      <c r="B31" s="20" t="s">
        <v>279</v>
      </c>
      <c r="C31" s="23" t="s">
        <v>214</v>
      </c>
      <c r="D31" s="20" t="s">
        <v>188</v>
      </c>
      <c r="E31" s="20" t="s">
        <v>280</v>
      </c>
      <c r="F31" s="20" t="s">
        <v>281</v>
      </c>
    </row>
    <row r="32" customFormat="false" ht="15" hidden="false" customHeight="false" outlineLevel="0" collapsed="false">
      <c r="A32" s="20" t="s">
        <v>282</v>
      </c>
      <c r="B32" s="20" t="s">
        <v>283</v>
      </c>
      <c r="C32" s="22" t="s">
        <v>192</v>
      </c>
      <c r="D32" s="20" t="s">
        <v>193</v>
      </c>
      <c r="E32" s="20" t="s">
        <v>284</v>
      </c>
      <c r="F32" s="20" t="s">
        <v>235</v>
      </c>
    </row>
    <row r="33" customFormat="false" ht="15" hidden="false" customHeight="false" outlineLevel="0" collapsed="false">
      <c r="A33" s="20" t="s">
        <v>282</v>
      </c>
      <c r="B33" s="20" t="s">
        <v>276</v>
      </c>
      <c r="C33" s="22" t="s">
        <v>192</v>
      </c>
      <c r="D33" s="20" t="s">
        <v>193</v>
      </c>
      <c r="E33" s="20" t="s">
        <v>277</v>
      </c>
      <c r="F33" s="20" t="s">
        <v>285</v>
      </c>
    </row>
    <row r="34" customFormat="false" ht="15" hidden="false" customHeight="false" outlineLevel="0" collapsed="false">
      <c r="A34" s="20" t="s">
        <v>282</v>
      </c>
      <c r="B34" s="20" t="s">
        <v>286</v>
      </c>
      <c r="C34" s="22" t="s">
        <v>192</v>
      </c>
      <c r="D34" s="20" t="s">
        <v>193</v>
      </c>
      <c r="E34" s="20" t="s">
        <v>287</v>
      </c>
      <c r="F34" s="20" t="s">
        <v>288</v>
      </c>
    </row>
    <row r="35" customFormat="false" ht="15" hidden="false" customHeight="false" outlineLevel="0" collapsed="false">
      <c r="A35" s="20" t="s">
        <v>282</v>
      </c>
      <c r="B35" s="20" t="s">
        <v>289</v>
      </c>
      <c r="C35" s="22" t="s">
        <v>192</v>
      </c>
      <c r="D35" s="20" t="s">
        <v>193</v>
      </c>
      <c r="E35" s="20" t="s">
        <v>290</v>
      </c>
      <c r="F35" s="20" t="s">
        <v>291</v>
      </c>
    </row>
    <row r="36" customFormat="false" ht="15" hidden="false" customHeight="false" outlineLevel="0" collapsed="false">
      <c r="A36" s="20" t="s">
        <v>282</v>
      </c>
      <c r="B36" s="20" t="s">
        <v>292</v>
      </c>
      <c r="C36" s="21" t="s">
        <v>187</v>
      </c>
      <c r="D36" s="20" t="s">
        <v>293</v>
      </c>
      <c r="E36" s="20" t="s">
        <v>294</v>
      </c>
      <c r="F36" s="20" t="s">
        <v>295</v>
      </c>
    </row>
    <row r="37" customFormat="false" ht="15" hidden="false" customHeight="false" outlineLevel="0" collapsed="false">
      <c r="A37" s="20" t="s">
        <v>282</v>
      </c>
      <c r="B37" s="20" t="s">
        <v>296</v>
      </c>
      <c r="C37" s="22" t="s">
        <v>192</v>
      </c>
      <c r="D37" s="20" t="s">
        <v>193</v>
      </c>
      <c r="E37" s="20" t="s">
        <v>297</v>
      </c>
      <c r="F37" s="20" t="s">
        <v>235</v>
      </c>
    </row>
    <row r="38" customFormat="false" ht="15" hidden="false" customHeight="false" outlineLevel="0" collapsed="false">
      <c r="A38" s="20" t="s">
        <v>282</v>
      </c>
      <c r="B38" s="20" t="s">
        <v>298</v>
      </c>
      <c r="C38" s="22" t="s">
        <v>192</v>
      </c>
      <c r="D38" s="20" t="s">
        <v>193</v>
      </c>
      <c r="E38" s="20" t="s">
        <v>299</v>
      </c>
      <c r="F38" s="20" t="s">
        <v>300</v>
      </c>
    </row>
    <row r="39" customFormat="false" ht="23.85" hidden="false" customHeight="false" outlineLevel="0" collapsed="false">
      <c r="A39" s="20" t="s">
        <v>282</v>
      </c>
      <c r="B39" s="20" t="s">
        <v>301</v>
      </c>
      <c r="C39" s="23" t="s">
        <v>214</v>
      </c>
      <c r="D39" s="20" t="s">
        <v>302</v>
      </c>
      <c r="E39" s="20" t="s">
        <v>303</v>
      </c>
      <c r="F39" s="20" t="s">
        <v>304</v>
      </c>
    </row>
    <row r="40" customFormat="false" ht="15" hidden="false" customHeight="false" outlineLevel="0" collapsed="false">
      <c r="A40" s="20" t="s">
        <v>282</v>
      </c>
      <c r="B40" s="20" t="s">
        <v>305</v>
      </c>
      <c r="C40" s="23" t="s">
        <v>214</v>
      </c>
      <c r="D40" s="20" t="s">
        <v>306</v>
      </c>
      <c r="E40" s="20" t="s">
        <v>307</v>
      </c>
      <c r="F40" s="20" t="s">
        <v>308</v>
      </c>
    </row>
    <row r="41" customFormat="false" ht="23.85" hidden="false" customHeight="false" outlineLevel="0" collapsed="false">
      <c r="A41" s="20" t="s">
        <v>309</v>
      </c>
      <c r="B41" s="20" t="s">
        <v>310</v>
      </c>
      <c r="C41" s="22" t="s">
        <v>192</v>
      </c>
      <c r="D41" s="20" t="s">
        <v>193</v>
      </c>
      <c r="E41" s="20" t="s">
        <v>311</v>
      </c>
      <c r="F41" s="20" t="s">
        <v>312</v>
      </c>
    </row>
    <row r="42" customFormat="false" ht="15" hidden="false" customHeight="false" outlineLevel="0" collapsed="false">
      <c r="A42" s="20" t="s">
        <v>313</v>
      </c>
      <c r="B42" s="20" t="s">
        <v>314</v>
      </c>
      <c r="C42" s="22" t="s">
        <v>192</v>
      </c>
      <c r="D42" s="20" t="s">
        <v>193</v>
      </c>
      <c r="E42" s="20" t="s">
        <v>315</v>
      </c>
      <c r="F42" s="20" t="s">
        <v>316</v>
      </c>
    </row>
    <row r="43" customFormat="false" ht="23.85" hidden="false" customHeight="false" outlineLevel="0" collapsed="false">
      <c r="A43" s="20" t="s">
        <v>313</v>
      </c>
      <c r="B43" s="20" t="s">
        <v>317</v>
      </c>
      <c r="C43" s="21" t="s">
        <v>187</v>
      </c>
      <c r="D43" s="20" t="s">
        <v>318</v>
      </c>
      <c r="E43" s="20" t="s">
        <v>319</v>
      </c>
      <c r="F43" s="20" t="s">
        <v>320</v>
      </c>
    </row>
    <row r="44" customFormat="false" ht="15" hidden="false" customHeight="false" outlineLevel="0" collapsed="false">
      <c r="A44" s="20" t="s">
        <v>313</v>
      </c>
      <c r="B44" s="20" t="s">
        <v>321</v>
      </c>
      <c r="C44" s="22" t="s">
        <v>192</v>
      </c>
      <c r="D44" s="20" t="s">
        <v>193</v>
      </c>
      <c r="E44" s="20" t="s">
        <v>322</v>
      </c>
      <c r="F44" s="20" t="s">
        <v>235</v>
      </c>
    </row>
    <row r="45" customFormat="false" ht="23.85" hidden="false" customHeight="false" outlineLevel="0" collapsed="false">
      <c r="A45" s="20" t="s">
        <v>313</v>
      </c>
      <c r="B45" s="20" t="s">
        <v>323</v>
      </c>
      <c r="C45" s="21" t="s">
        <v>187</v>
      </c>
      <c r="D45" s="20" t="s">
        <v>324</v>
      </c>
      <c r="E45" s="20" t="s">
        <v>325</v>
      </c>
      <c r="F45" s="20" t="s">
        <v>326</v>
      </c>
    </row>
    <row r="46" customFormat="false" ht="35.05" hidden="false" customHeight="false" outlineLevel="0" collapsed="false">
      <c r="A46" s="20" t="s">
        <v>327</v>
      </c>
      <c r="B46" s="20" t="s">
        <v>328</v>
      </c>
      <c r="C46" s="22" t="s">
        <v>192</v>
      </c>
      <c r="D46" s="20" t="s">
        <v>329</v>
      </c>
      <c r="E46" s="20" t="s">
        <v>330</v>
      </c>
      <c r="F46" s="20" t="s">
        <v>331</v>
      </c>
    </row>
    <row r="47" customFormat="false" ht="15" hidden="false" customHeight="false" outlineLevel="0" collapsed="false">
      <c r="A47" s="20" t="s">
        <v>332</v>
      </c>
      <c r="B47" s="20" t="s">
        <v>333</v>
      </c>
      <c r="C47" s="21" t="s">
        <v>187</v>
      </c>
      <c r="D47" s="20" t="s">
        <v>188</v>
      </c>
      <c r="E47" s="20" t="s">
        <v>334</v>
      </c>
      <c r="F47" s="20" t="s">
        <v>335</v>
      </c>
    </row>
    <row r="48" customFormat="false" ht="15" hidden="false" customHeight="false" outlineLevel="0" collapsed="false">
      <c r="A48" s="20" t="s">
        <v>332</v>
      </c>
      <c r="B48" s="20" t="s">
        <v>336</v>
      </c>
      <c r="C48" s="22" t="s">
        <v>192</v>
      </c>
      <c r="D48" s="20" t="s">
        <v>193</v>
      </c>
      <c r="E48" s="20" t="s">
        <v>337</v>
      </c>
      <c r="F48" s="20" t="s">
        <v>235</v>
      </c>
    </row>
    <row r="49" customFormat="false" ht="15" hidden="false" customHeight="false" outlineLevel="0" collapsed="false">
      <c r="A49" s="20" t="s">
        <v>332</v>
      </c>
      <c r="B49" s="20" t="s">
        <v>338</v>
      </c>
      <c r="C49" s="22" t="s">
        <v>192</v>
      </c>
      <c r="D49" s="20" t="s">
        <v>193</v>
      </c>
      <c r="E49" s="20" t="s">
        <v>339</v>
      </c>
      <c r="F49" s="20" t="s">
        <v>235</v>
      </c>
    </row>
    <row r="50" customFormat="false" ht="15" hidden="false" customHeight="false" outlineLevel="0" collapsed="false">
      <c r="A50" s="20" t="s">
        <v>340</v>
      </c>
      <c r="B50" s="20" t="s">
        <v>341</v>
      </c>
      <c r="C50" s="22" t="s">
        <v>192</v>
      </c>
      <c r="D50" s="20" t="s">
        <v>193</v>
      </c>
      <c r="E50" s="20" t="s">
        <v>342</v>
      </c>
      <c r="F50" s="20" t="s">
        <v>343</v>
      </c>
    </row>
    <row r="51" customFormat="false" ht="15" hidden="false" customHeight="false" outlineLevel="0" collapsed="false">
      <c r="A51" s="20" t="s">
        <v>340</v>
      </c>
      <c r="B51" s="20" t="s">
        <v>344</v>
      </c>
      <c r="C51" s="21" t="s">
        <v>187</v>
      </c>
      <c r="D51" s="20" t="s">
        <v>242</v>
      </c>
      <c r="E51" s="20" t="s">
        <v>345</v>
      </c>
      <c r="F51" s="20" t="s">
        <v>346</v>
      </c>
    </row>
    <row r="53" customFormat="false" ht="15" hidden="false" customHeight="false" outlineLevel="0" collapsed="false">
      <c r="A53" s="26" t="s">
        <v>347</v>
      </c>
    </row>
    <row r="54" customFormat="false" ht="15" hidden="false" customHeight="false" outlineLevel="0" collapsed="false">
      <c r="A54" s="27" t="s">
        <v>348</v>
      </c>
      <c r="B54" s="28" t="n">
        <f aca="false">COUNTIF(C6:C51,"*Preserve*")</f>
        <v>24</v>
      </c>
    </row>
    <row r="55" customFormat="false" ht="15" hidden="false" customHeight="false" outlineLevel="0" collapsed="false">
      <c r="A55" s="29" t="s">
        <v>349</v>
      </c>
      <c r="B55" s="28" t="n">
        <f aca="false">COUNTIF(C6:C51,"*Extend*")</f>
        <v>13</v>
      </c>
    </row>
    <row r="56" customFormat="false" ht="15" hidden="false" customHeight="false" outlineLevel="0" collapsed="false">
      <c r="A56" s="30" t="s">
        <v>350</v>
      </c>
      <c r="B56" s="28" t="n">
        <f aca="false">COUNTIF(C6:C51,"*Re-parent*")</f>
        <v>3</v>
      </c>
    </row>
    <row r="57" customFormat="false" ht="15" hidden="false" customHeight="false" outlineLevel="0" collapsed="false">
      <c r="A57" s="31" t="s">
        <v>351</v>
      </c>
      <c r="B57" s="28" t="n">
        <f aca="false">COUNTIF(C6:C51,"*Streamline*")</f>
        <v>1</v>
      </c>
    </row>
    <row r="58" customFormat="false" ht="15" hidden="false" customHeight="false" outlineLevel="0" collapsed="false">
      <c r="A58" s="32" t="s">
        <v>352</v>
      </c>
      <c r="B58" s="28" t="n">
        <f aca="false">COUNTIF(C6:C51,"*Add*")</f>
        <v>5</v>
      </c>
    </row>
    <row r="59" customFormat="false" ht="15" hidden="false" customHeight="false" outlineLevel="0" collapsed="false">
      <c r="A59" s="33" t="s">
        <v>353</v>
      </c>
      <c r="B59" s="28" t="n">
        <f aca="false">COUNTIF(C6:C51,"*Deprecate*")</f>
        <v>0</v>
      </c>
    </row>
    <row r="60" customFormat="false" ht="15" hidden="false" customHeight="false" outlineLevel="0" collapsed="false">
      <c r="A60" s="34" t="s">
        <v>354</v>
      </c>
      <c r="B60" s="34" t="n">
        <f aca="false">COUNTA(B6:B51)</f>
        <v>46</v>
      </c>
    </row>
    <row r="62" customFormat="false" ht="15" hidden="false" customHeight="false" outlineLevel="0" collapsed="false">
      <c r="A62" s="26" t="s">
        <v>355</v>
      </c>
    </row>
    <row r="63" customFormat="false" ht="19.5" hidden="false" customHeight="true" outlineLevel="0" collapsed="false">
      <c r="A63" s="35" t="s">
        <v>356</v>
      </c>
      <c r="B63" s="35"/>
      <c r="C63" s="35"/>
      <c r="D63" s="35"/>
      <c r="E63" s="35"/>
      <c r="F63" s="35"/>
    </row>
    <row r="64" customFormat="false" ht="19.5" hidden="false" customHeight="true" outlineLevel="0" collapsed="false">
      <c r="A64" s="35" t="s">
        <v>357</v>
      </c>
      <c r="B64" s="35"/>
      <c r="C64" s="35"/>
      <c r="D64" s="35"/>
      <c r="E64" s="35"/>
      <c r="F64" s="35"/>
    </row>
    <row r="65" customFormat="false" ht="19.5" hidden="false" customHeight="true" outlineLevel="0" collapsed="false">
      <c r="A65" s="35" t="s">
        <v>358</v>
      </c>
      <c r="B65" s="35"/>
      <c r="C65" s="35"/>
      <c r="D65" s="35"/>
      <c r="E65" s="35"/>
      <c r="F65" s="35"/>
    </row>
    <row r="66" customFormat="false" ht="19.5" hidden="false" customHeight="true" outlineLevel="0" collapsed="false">
      <c r="A66" s="35" t="s">
        <v>359</v>
      </c>
      <c r="B66" s="35"/>
      <c r="C66" s="35"/>
      <c r="D66" s="35"/>
      <c r="E66" s="35"/>
      <c r="F66" s="35"/>
    </row>
    <row r="67" customFormat="false" ht="19.5" hidden="false" customHeight="true" outlineLevel="0" collapsed="false">
      <c r="A67" s="35" t="s">
        <v>360</v>
      </c>
      <c r="B67" s="35"/>
      <c r="C67" s="35"/>
      <c r="D67" s="35"/>
      <c r="E67" s="35"/>
      <c r="F67" s="35"/>
    </row>
  </sheetData>
  <mergeCells count="8">
    <mergeCell ref="A1:F1"/>
    <mergeCell ref="A2:F2"/>
    <mergeCell ref="A3:F3"/>
    <mergeCell ref="A63:F63"/>
    <mergeCell ref="A64:F64"/>
    <mergeCell ref="A65:F65"/>
    <mergeCell ref="A66:F66"/>
    <mergeCell ref="A67:F6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8"/>
    <col collapsed="false" customWidth="true" hidden="false" outlineLevel="0" max="3" min="3" style="1" width="16"/>
    <col collapsed="false" customWidth="true" hidden="false" outlineLevel="0" max="4" min="4" style="1" width="80"/>
    <col collapsed="false" customWidth="true" hidden="false" outlineLevel="0" max="6" min="5" style="1" width="10"/>
    <col collapsed="false" customWidth="true" hidden="false" outlineLevel="0" max="7" min="7" style="1" width="14"/>
  </cols>
  <sheetData>
    <row r="1" customFormat="false" ht="21.75" hidden="false" customHeight="true" outlineLevel="0" collapsed="false">
      <c r="A1" s="9" t="s">
        <v>361</v>
      </c>
      <c r="B1" s="9"/>
      <c r="C1" s="9"/>
      <c r="D1" s="9"/>
      <c r="E1" s="9"/>
      <c r="F1" s="9"/>
      <c r="G1" s="9"/>
    </row>
    <row r="3" customFormat="false" ht="21.75" hidden="false" customHeight="true" outlineLevel="0" collapsed="false">
      <c r="A3" s="6" t="s">
        <v>362</v>
      </c>
      <c r="B3" s="6" t="s">
        <v>363</v>
      </c>
      <c r="C3" s="6" t="s">
        <v>364</v>
      </c>
      <c r="D3" s="6" t="s">
        <v>365</v>
      </c>
      <c r="E3" s="6" t="s">
        <v>366</v>
      </c>
      <c r="F3" s="6" t="s">
        <v>367</v>
      </c>
      <c r="G3" s="6" t="s">
        <v>121</v>
      </c>
    </row>
    <row r="4" customFormat="false" ht="15" hidden="false" customHeight="true" outlineLevel="0" collapsed="false">
      <c r="A4" s="10" t="s">
        <v>368</v>
      </c>
      <c r="B4" s="16" t="n">
        <v>1</v>
      </c>
      <c r="C4" s="12" t="s">
        <v>369</v>
      </c>
      <c r="D4" s="12" t="s">
        <v>370</v>
      </c>
      <c r="E4" s="12" t="s">
        <v>371</v>
      </c>
      <c r="F4" s="16" t="n">
        <v>3</v>
      </c>
      <c r="G4" s="10" t="s">
        <v>47</v>
      </c>
    </row>
    <row r="5" customFormat="false" ht="15" hidden="false" customHeight="true" outlineLevel="0" collapsed="false">
      <c r="A5" s="13" t="s">
        <v>372</v>
      </c>
      <c r="B5" s="5" t="n">
        <v>1</v>
      </c>
      <c r="C5" s="8" t="s">
        <v>369</v>
      </c>
      <c r="D5" s="8" t="s">
        <v>373</v>
      </c>
      <c r="E5" s="8" t="s">
        <v>371</v>
      </c>
      <c r="F5" s="5" t="n">
        <v>5</v>
      </c>
      <c r="G5" s="13" t="s">
        <v>47</v>
      </c>
    </row>
    <row r="6" customFormat="false" ht="15" hidden="false" customHeight="true" outlineLevel="0" collapsed="false">
      <c r="A6" s="10" t="s">
        <v>374</v>
      </c>
      <c r="B6" s="16" t="n">
        <v>1</v>
      </c>
      <c r="C6" s="12" t="s">
        <v>369</v>
      </c>
      <c r="D6" s="12" t="s">
        <v>375</v>
      </c>
      <c r="E6" s="12" t="s">
        <v>371</v>
      </c>
      <c r="F6" s="16" t="n">
        <v>3</v>
      </c>
      <c r="G6" s="10" t="s">
        <v>47</v>
      </c>
    </row>
    <row r="7" customFormat="false" ht="15" hidden="false" customHeight="true" outlineLevel="0" collapsed="false">
      <c r="A7" s="13" t="s">
        <v>376</v>
      </c>
      <c r="B7" s="5" t="n">
        <v>1</v>
      </c>
      <c r="C7" s="8" t="s">
        <v>369</v>
      </c>
      <c r="D7" s="8" t="s">
        <v>377</v>
      </c>
      <c r="E7" s="8" t="s">
        <v>371</v>
      </c>
      <c r="F7" s="5" t="n">
        <v>2</v>
      </c>
      <c r="G7" s="13" t="s">
        <v>47</v>
      </c>
    </row>
    <row r="8" customFormat="false" ht="15" hidden="false" customHeight="true" outlineLevel="0" collapsed="false">
      <c r="A8" s="10" t="s">
        <v>378</v>
      </c>
      <c r="B8" s="16" t="n">
        <v>1</v>
      </c>
      <c r="C8" s="12" t="s">
        <v>369</v>
      </c>
      <c r="D8" s="12" t="s">
        <v>379</v>
      </c>
      <c r="E8" s="12" t="s">
        <v>371</v>
      </c>
      <c r="F8" s="16" t="n">
        <v>2</v>
      </c>
      <c r="G8" s="10" t="s">
        <v>47</v>
      </c>
    </row>
    <row r="9" customFormat="false" ht="15" hidden="false" customHeight="true" outlineLevel="0" collapsed="false">
      <c r="A9" s="13" t="s">
        <v>380</v>
      </c>
      <c r="B9" s="5" t="n">
        <v>2</v>
      </c>
      <c r="C9" s="8" t="s">
        <v>381</v>
      </c>
      <c r="D9" s="8" t="s">
        <v>382</v>
      </c>
      <c r="E9" s="8" t="s">
        <v>371</v>
      </c>
      <c r="F9" s="5" t="n">
        <v>5</v>
      </c>
      <c r="G9" s="13" t="s">
        <v>47</v>
      </c>
    </row>
    <row r="10" customFormat="false" ht="15" hidden="false" customHeight="true" outlineLevel="0" collapsed="false">
      <c r="A10" s="10" t="s">
        <v>383</v>
      </c>
      <c r="B10" s="16" t="n">
        <v>2</v>
      </c>
      <c r="C10" s="12" t="s">
        <v>381</v>
      </c>
      <c r="D10" s="12" t="s">
        <v>384</v>
      </c>
      <c r="E10" s="12" t="s">
        <v>371</v>
      </c>
      <c r="F10" s="16" t="n">
        <v>2</v>
      </c>
      <c r="G10" s="10" t="s">
        <v>47</v>
      </c>
    </row>
    <row r="11" customFormat="false" ht="15" hidden="false" customHeight="true" outlineLevel="0" collapsed="false">
      <c r="A11" s="13" t="s">
        <v>385</v>
      </c>
      <c r="B11" s="5" t="n">
        <v>3</v>
      </c>
      <c r="C11" s="8" t="s">
        <v>381</v>
      </c>
      <c r="D11" s="8" t="s">
        <v>386</v>
      </c>
      <c r="E11" s="8" t="s">
        <v>371</v>
      </c>
      <c r="F11" s="5" t="n">
        <v>8</v>
      </c>
      <c r="G11" s="13" t="s">
        <v>47</v>
      </c>
    </row>
    <row r="12" customFormat="false" ht="15" hidden="false" customHeight="true" outlineLevel="0" collapsed="false">
      <c r="A12" s="10" t="s">
        <v>387</v>
      </c>
      <c r="B12" s="16" t="n">
        <v>3</v>
      </c>
      <c r="C12" s="12" t="s">
        <v>369</v>
      </c>
      <c r="D12" s="12" t="s">
        <v>388</v>
      </c>
      <c r="E12" s="12" t="s">
        <v>389</v>
      </c>
      <c r="F12" s="16" t="n">
        <v>3</v>
      </c>
      <c r="G12" s="10" t="s">
        <v>47</v>
      </c>
    </row>
    <row r="13" customFormat="false" ht="15" hidden="false" customHeight="true" outlineLevel="0" collapsed="false">
      <c r="A13" s="13" t="s">
        <v>390</v>
      </c>
      <c r="B13" s="5" t="n">
        <v>4</v>
      </c>
      <c r="C13" s="8" t="s">
        <v>381</v>
      </c>
      <c r="D13" s="8" t="s">
        <v>391</v>
      </c>
      <c r="E13" s="8" t="s">
        <v>371</v>
      </c>
      <c r="F13" s="5" t="n">
        <v>5</v>
      </c>
      <c r="G13" s="13" t="s">
        <v>47</v>
      </c>
    </row>
    <row r="14" customFormat="false" ht="15" hidden="false" customHeight="true" outlineLevel="0" collapsed="false">
      <c r="A14" s="10" t="s">
        <v>392</v>
      </c>
      <c r="B14" s="16" t="n">
        <v>4</v>
      </c>
      <c r="C14" s="12" t="s">
        <v>381</v>
      </c>
      <c r="D14" s="12" t="s">
        <v>393</v>
      </c>
      <c r="E14" s="12" t="s">
        <v>389</v>
      </c>
      <c r="F14" s="16" t="n">
        <v>5</v>
      </c>
      <c r="G14" s="10" t="s">
        <v>47</v>
      </c>
    </row>
    <row r="15" customFormat="false" ht="15" hidden="false" customHeight="true" outlineLevel="0" collapsed="false">
      <c r="A15" s="13" t="s">
        <v>394</v>
      </c>
      <c r="B15" s="5" t="n">
        <v>5</v>
      </c>
      <c r="C15" s="8" t="s">
        <v>395</v>
      </c>
      <c r="D15" s="8" t="s">
        <v>396</v>
      </c>
      <c r="E15" s="8" t="s">
        <v>371</v>
      </c>
      <c r="F15" s="5" t="n">
        <v>8</v>
      </c>
      <c r="G15" s="13" t="s">
        <v>47</v>
      </c>
    </row>
    <row r="16" customFormat="false" ht="15" hidden="false" customHeight="true" outlineLevel="0" collapsed="false">
      <c r="A16" s="10" t="s">
        <v>397</v>
      </c>
      <c r="B16" s="16" t="n">
        <v>5</v>
      </c>
      <c r="C16" s="12" t="s">
        <v>369</v>
      </c>
      <c r="D16" s="12" t="s">
        <v>398</v>
      </c>
      <c r="E16" s="12" t="s">
        <v>371</v>
      </c>
      <c r="F16" s="16" t="n">
        <v>8</v>
      </c>
      <c r="G16" s="10" t="s">
        <v>47</v>
      </c>
    </row>
    <row r="17" customFormat="false" ht="15" hidden="false" customHeight="true" outlineLevel="0" collapsed="false">
      <c r="A17" s="13" t="s">
        <v>399</v>
      </c>
      <c r="B17" s="5" t="n">
        <v>5</v>
      </c>
      <c r="C17" s="8" t="s">
        <v>400</v>
      </c>
      <c r="D17" s="8" t="s">
        <v>401</v>
      </c>
      <c r="E17" s="8" t="s">
        <v>371</v>
      </c>
      <c r="F17" s="5" t="n">
        <v>3</v>
      </c>
      <c r="G17" s="13" t="s">
        <v>47</v>
      </c>
    </row>
    <row r="18" customFormat="false" ht="15" hidden="false" customHeight="true" outlineLevel="0" collapsed="false">
      <c r="A18" s="10" t="s">
        <v>402</v>
      </c>
      <c r="B18" s="16" t="n">
        <v>6</v>
      </c>
      <c r="C18" s="12" t="s">
        <v>381</v>
      </c>
      <c r="D18" s="12" t="s">
        <v>403</v>
      </c>
      <c r="E18" s="12" t="s">
        <v>371</v>
      </c>
      <c r="F18" s="16" t="n">
        <v>3</v>
      </c>
      <c r="G18" s="10" t="s">
        <v>47</v>
      </c>
    </row>
    <row r="19" customFormat="false" ht="15" hidden="false" customHeight="true" outlineLevel="0" collapsed="false">
      <c r="A19" s="13" t="s">
        <v>404</v>
      </c>
      <c r="B19" s="5" t="n">
        <v>6</v>
      </c>
      <c r="C19" s="8" t="s">
        <v>381</v>
      </c>
      <c r="D19" s="8" t="s">
        <v>405</v>
      </c>
      <c r="E19" s="8" t="s">
        <v>371</v>
      </c>
      <c r="F19" s="5" t="n">
        <v>8</v>
      </c>
      <c r="G19" s="13" t="s">
        <v>47</v>
      </c>
    </row>
    <row r="20" customFormat="false" ht="15" hidden="false" customHeight="true" outlineLevel="0" collapsed="false">
      <c r="A20" s="10" t="s">
        <v>406</v>
      </c>
      <c r="B20" s="16" t="n">
        <v>6</v>
      </c>
      <c r="C20" s="12" t="s">
        <v>369</v>
      </c>
      <c r="D20" s="12" t="s">
        <v>407</v>
      </c>
      <c r="E20" s="12" t="s">
        <v>371</v>
      </c>
      <c r="F20" s="16" t="n">
        <v>5</v>
      </c>
      <c r="G20" s="10" t="s">
        <v>47</v>
      </c>
    </row>
    <row r="21" customFormat="false" ht="15" hidden="false" customHeight="true" outlineLevel="0" collapsed="false">
      <c r="A21" s="13" t="s">
        <v>408</v>
      </c>
      <c r="B21" s="5" t="n">
        <v>7</v>
      </c>
      <c r="C21" s="8" t="s">
        <v>381</v>
      </c>
      <c r="D21" s="8" t="s">
        <v>409</v>
      </c>
      <c r="E21" s="8" t="s">
        <v>371</v>
      </c>
      <c r="F21" s="5" t="n">
        <v>5</v>
      </c>
      <c r="G21" s="13" t="s">
        <v>47</v>
      </c>
    </row>
    <row r="22" customFormat="false" ht="15" hidden="false" customHeight="true" outlineLevel="0" collapsed="false">
      <c r="A22" s="10" t="s">
        <v>410</v>
      </c>
      <c r="B22" s="16" t="n">
        <v>7</v>
      </c>
      <c r="C22" s="12" t="s">
        <v>369</v>
      </c>
      <c r="D22" s="12" t="s">
        <v>411</v>
      </c>
      <c r="E22" s="12" t="s">
        <v>371</v>
      </c>
      <c r="F22" s="16" t="n">
        <v>3</v>
      </c>
      <c r="G22" s="10" t="s">
        <v>47</v>
      </c>
    </row>
    <row r="23" customFormat="false" ht="15" hidden="false" customHeight="true" outlineLevel="0" collapsed="false">
      <c r="A23" s="13" t="s">
        <v>412</v>
      </c>
      <c r="B23" s="5" t="n">
        <v>7</v>
      </c>
      <c r="C23" s="8" t="s">
        <v>400</v>
      </c>
      <c r="D23" s="8" t="s">
        <v>413</v>
      </c>
      <c r="E23" s="8" t="s">
        <v>371</v>
      </c>
      <c r="F23" s="5" t="n">
        <v>2</v>
      </c>
      <c r="G23" s="13" t="s">
        <v>47</v>
      </c>
    </row>
    <row r="24" customFormat="false" ht="15" hidden="false" customHeight="true" outlineLevel="0" collapsed="false">
      <c r="A24" s="10" t="s">
        <v>414</v>
      </c>
      <c r="B24" s="16" t="n">
        <v>8</v>
      </c>
      <c r="C24" s="12" t="s">
        <v>381</v>
      </c>
      <c r="D24" s="12" t="s">
        <v>415</v>
      </c>
      <c r="E24" s="12" t="s">
        <v>371</v>
      </c>
      <c r="F24" s="16" t="n">
        <v>5</v>
      </c>
      <c r="G24" s="10" t="s">
        <v>47</v>
      </c>
    </row>
    <row r="25" customFormat="false" ht="15" hidden="false" customHeight="true" outlineLevel="0" collapsed="false">
      <c r="A25" s="13" t="s">
        <v>416</v>
      </c>
      <c r="B25" s="5" t="n">
        <v>8</v>
      </c>
      <c r="C25" s="8" t="s">
        <v>381</v>
      </c>
      <c r="D25" s="8" t="s">
        <v>417</v>
      </c>
      <c r="E25" s="8" t="s">
        <v>371</v>
      </c>
      <c r="F25" s="5" t="n">
        <v>3</v>
      </c>
      <c r="G25" s="13" t="s">
        <v>47</v>
      </c>
    </row>
    <row r="26" customFormat="false" ht="15" hidden="false" customHeight="true" outlineLevel="0" collapsed="false">
      <c r="A26" s="10" t="s">
        <v>418</v>
      </c>
      <c r="B26" s="16" t="n">
        <v>9</v>
      </c>
      <c r="C26" s="12" t="s">
        <v>381</v>
      </c>
      <c r="D26" s="12" t="s">
        <v>419</v>
      </c>
      <c r="E26" s="12" t="s">
        <v>389</v>
      </c>
      <c r="F26" s="16" t="n">
        <v>5</v>
      </c>
      <c r="G26" s="10" t="s">
        <v>47</v>
      </c>
    </row>
    <row r="27" customFormat="false" ht="15" hidden="false" customHeight="true" outlineLevel="0" collapsed="false">
      <c r="A27" s="13" t="s">
        <v>420</v>
      </c>
      <c r="B27" s="5" t="n">
        <v>9</v>
      </c>
      <c r="C27" s="8" t="s">
        <v>369</v>
      </c>
      <c r="D27" s="8" t="s">
        <v>421</v>
      </c>
      <c r="E27" s="8" t="s">
        <v>371</v>
      </c>
      <c r="F27" s="5" t="n">
        <v>2</v>
      </c>
      <c r="G27" s="13" t="s">
        <v>47</v>
      </c>
    </row>
    <row r="28" customFormat="false" ht="15" hidden="false" customHeight="true" outlineLevel="0" collapsed="false">
      <c r="A28" s="10" t="s">
        <v>422</v>
      </c>
      <c r="B28" s="16" t="n">
        <v>9</v>
      </c>
      <c r="C28" s="12" t="s">
        <v>381</v>
      </c>
      <c r="D28" s="12" t="s">
        <v>423</v>
      </c>
      <c r="E28" s="12" t="s">
        <v>389</v>
      </c>
      <c r="F28" s="16" t="n">
        <v>3</v>
      </c>
      <c r="G28" s="10" t="s">
        <v>47</v>
      </c>
    </row>
    <row r="29" customFormat="false" ht="15" hidden="false" customHeight="true" outlineLevel="0" collapsed="false">
      <c r="A29" s="13" t="s">
        <v>424</v>
      </c>
      <c r="B29" s="5" t="n">
        <v>10</v>
      </c>
      <c r="C29" s="8" t="s">
        <v>381</v>
      </c>
      <c r="D29" s="8" t="s">
        <v>425</v>
      </c>
      <c r="E29" s="8" t="s">
        <v>371</v>
      </c>
      <c r="F29" s="5" t="n">
        <v>5</v>
      </c>
      <c r="G29" s="13" t="s">
        <v>47</v>
      </c>
    </row>
    <row r="30" customFormat="false" ht="15" hidden="false" customHeight="true" outlineLevel="0" collapsed="false">
      <c r="A30" s="10" t="s">
        <v>426</v>
      </c>
      <c r="B30" s="16" t="n">
        <v>10</v>
      </c>
      <c r="C30" s="12" t="s">
        <v>381</v>
      </c>
      <c r="D30" s="12" t="s">
        <v>427</v>
      </c>
      <c r="E30" s="12" t="s">
        <v>371</v>
      </c>
      <c r="F30" s="16" t="n">
        <v>5</v>
      </c>
      <c r="G30" s="10" t="s">
        <v>47</v>
      </c>
    </row>
    <row r="31" customFormat="false" ht="15" hidden="false" customHeight="true" outlineLevel="0" collapsed="false">
      <c r="A31" s="13" t="s">
        <v>428</v>
      </c>
      <c r="B31" s="5" t="n">
        <v>11</v>
      </c>
      <c r="C31" s="8" t="s">
        <v>381</v>
      </c>
      <c r="D31" s="8" t="s">
        <v>429</v>
      </c>
      <c r="E31" s="8" t="s">
        <v>371</v>
      </c>
      <c r="F31" s="5" t="n">
        <v>5</v>
      </c>
      <c r="G31" s="13" t="s">
        <v>47</v>
      </c>
    </row>
    <row r="32" customFormat="false" ht="15" hidden="false" customHeight="true" outlineLevel="0" collapsed="false">
      <c r="A32" s="10" t="s">
        <v>430</v>
      </c>
      <c r="B32" s="16" t="n">
        <v>11</v>
      </c>
      <c r="C32" s="12" t="s">
        <v>381</v>
      </c>
      <c r="D32" s="12" t="s">
        <v>431</v>
      </c>
      <c r="E32" s="12" t="s">
        <v>389</v>
      </c>
      <c r="F32" s="16" t="n">
        <v>3</v>
      </c>
      <c r="G32" s="10" t="s">
        <v>47</v>
      </c>
    </row>
    <row r="33" customFormat="false" ht="15" hidden="false" customHeight="true" outlineLevel="0" collapsed="false">
      <c r="A33" s="13" t="s">
        <v>432</v>
      </c>
      <c r="B33" s="5" t="n">
        <v>11</v>
      </c>
      <c r="C33" s="8" t="s">
        <v>369</v>
      </c>
      <c r="D33" s="8" t="s">
        <v>433</v>
      </c>
      <c r="E33" s="8" t="s">
        <v>371</v>
      </c>
      <c r="F33" s="5" t="n">
        <v>2</v>
      </c>
      <c r="G33" s="13" t="s">
        <v>47</v>
      </c>
    </row>
    <row r="34" customFormat="false" ht="15" hidden="false" customHeight="true" outlineLevel="0" collapsed="false">
      <c r="A34" s="10" t="s">
        <v>434</v>
      </c>
      <c r="B34" s="16" t="n">
        <v>12</v>
      </c>
      <c r="C34" s="12" t="s">
        <v>381</v>
      </c>
      <c r="D34" s="12" t="s">
        <v>435</v>
      </c>
      <c r="E34" s="12" t="s">
        <v>371</v>
      </c>
      <c r="F34" s="16" t="n">
        <v>8</v>
      </c>
      <c r="G34" s="10" t="s">
        <v>47</v>
      </c>
    </row>
    <row r="35" customFormat="false" ht="15" hidden="false" customHeight="true" outlineLevel="0" collapsed="false">
      <c r="A35" s="13" t="s">
        <v>436</v>
      </c>
      <c r="B35" s="5" t="n">
        <v>12</v>
      </c>
      <c r="C35" s="8" t="s">
        <v>381</v>
      </c>
      <c r="D35" s="8" t="s">
        <v>437</v>
      </c>
      <c r="E35" s="8" t="s">
        <v>371</v>
      </c>
      <c r="F35" s="5" t="n">
        <v>5</v>
      </c>
      <c r="G35" s="13" t="s">
        <v>47</v>
      </c>
    </row>
    <row r="36" customFormat="false" ht="15" hidden="false" customHeight="true" outlineLevel="0" collapsed="false">
      <c r="A36" s="10" t="s">
        <v>438</v>
      </c>
      <c r="B36" s="16" t="n">
        <v>12</v>
      </c>
      <c r="C36" s="12" t="s">
        <v>369</v>
      </c>
      <c r="D36" s="12" t="s">
        <v>439</v>
      </c>
      <c r="E36" s="12" t="s">
        <v>371</v>
      </c>
      <c r="F36" s="16" t="n">
        <v>5</v>
      </c>
      <c r="G36" s="10" t="s">
        <v>47</v>
      </c>
    </row>
    <row r="37" customFormat="false" ht="15" hidden="false" customHeight="true" outlineLevel="0" collapsed="false">
      <c r="A37" s="13" t="s">
        <v>440</v>
      </c>
      <c r="B37" s="5" t="n">
        <v>13</v>
      </c>
      <c r="C37" s="8" t="s">
        <v>441</v>
      </c>
      <c r="D37" s="8" t="s">
        <v>442</v>
      </c>
      <c r="E37" s="8" t="s">
        <v>371</v>
      </c>
      <c r="F37" s="5" t="n">
        <v>5</v>
      </c>
      <c r="G37" s="13" t="s">
        <v>47</v>
      </c>
    </row>
    <row r="38" customFormat="false" ht="15" hidden="false" customHeight="true" outlineLevel="0" collapsed="false">
      <c r="A38" s="10" t="s">
        <v>443</v>
      </c>
      <c r="B38" s="16" t="n">
        <v>13</v>
      </c>
      <c r="C38" s="12" t="s">
        <v>441</v>
      </c>
      <c r="D38" s="12" t="s">
        <v>444</v>
      </c>
      <c r="E38" s="12" t="s">
        <v>371</v>
      </c>
      <c r="F38" s="16" t="n">
        <v>3</v>
      </c>
      <c r="G38" s="10" t="s">
        <v>47</v>
      </c>
    </row>
    <row r="39" customFormat="false" ht="15" hidden="false" customHeight="true" outlineLevel="0" collapsed="false">
      <c r="A39" s="13" t="s">
        <v>445</v>
      </c>
      <c r="B39" s="5" t="n">
        <v>13</v>
      </c>
      <c r="C39" s="8" t="s">
        <v>441</v>
      </c>
      <c r="D39" s="8" t="s">
        <v>446</v>
      </c>
      <c r="E39" s="8" t="s">
        <v>371</v>
      </c>
      <c r="F39" s="5" t="n">
        <v>3</v>
      </c>
      <c r="G39" s="13" t="s">
        <v>47</v>
      </c>
    </row>
    <row r="40" customFormat="false" ht="15" hidden="false" customHeight="true" outlineLevel="0" collapsed="false">
      <c r="A40" s="10" t="s">
        <v>447</v>
      </c>
      <c r="B40" s="16" t="n">
        <v>13</v>
      </c>
      <c r="C40" s="12" t="s">
        <v>369</v>
      </c>
      <c r="D40" s="12" t="s">
        <v>448</v>
      </c>
      <c r="E40" s="12" t="s">
        <v>371</v>
      </c>
      <c r="F40" s="16" t="n">
        <v>3</v>
      </c>
      <c r="G40" s="10" t="s">
        <v>47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6"/>
    <col collapsed="false" customWidth="true" hidden="false" outlineLevel="0" max="4" min="3" style="1" width="40"/>
    <col collapsed="false" customWidth="true" hidden="false" outlineLevel="0" max="5" min="5" style="1" width="60"/>
  </cols>
  <sheetData>
    <row r="1" customFormat="false" ht="21.75" hidden="false" customHeight="true" outlineLevel="0" collapsed="false">
      <c r="A1" s="9" t="s">
        <v>449</v>
      </c>
      <c r="B1" s="9"/>
      <c r="C1" s="9"/>
      <c r="D1" s="9"/>
      <c r="E1" s="9"/>
    </row>
    <row r="3" customFormat="false" ht="21.75" hidden="false" customHeight="true" outlineLevel="0" collapsed="false">
      <c r="A3" s="6" t="s">
        <v>450</v>
      </c>
      <c r="B3" s="6" t="s">
        <v>451</v>
      </c>
      <c r="C3" s="6" t="s">
        <v>452</v>
      </c>
      <c r="D3" s="6" t="s">
        <v>453</v>
      </c>
      <c r="E3" s="6" t="s">
        <v>454</v>
      </c>
    </row>
    <row r="4" customFormat="false" ht="15" hidden="false" customHeight="true" outlineLevel="0" collapsed="false">
      <c r="A4" s="10" t="s">
        <v>368</v>
      </c>
      <c r="B4" s="16" t="n">
        <v>1</v>
      </c>
      <c r="C4" s="12" t="s">
        <v>455</v>
      </c>
      <c r="D4" s="12" t="s">
        <v>456</v>
      </c>
      <c r="E4" s="12" t="s">
        <v>457</v>
      </c>
    </row>
    <row r="5" customFormat="false" ht="23.25" hidden="false" customHeight="true" outlineLevel="0" collapsed="false">
      <c r="A5" s="13" t="s">
        <v>368</v>
      </c>
      <c r="B5" s="5" t="n">
        <v>2</v>
      </c>
      <c r="C5" s="8" t="s">
        <v>458</v>
      </c>
      <c r="D5" s="8" t="s">
        <v>459</v>
      </c>
      <c r="E5" s="8" t="s">
        <v>460</v>
      </c>
    </row>
    <row r="6" customFormat="false" ht="34.5" hidden="false" customHeight="true" outlineLevel="0" collapsed="false">
      <c r="A6" s="10" t="s">
        <v>372</v>
      </c>
      <c r="B6" s="16" t="n">
        <v>1</v>
      </c>
      <c r="C6" s="12" t="s">
        <v>461</v>
      </c>
      <c r="D6" s="12" t="s">
        <v>462</v>
      </c>
      <c r="E6" s="12" t="s">
        <v>463</v>
      </c>
    </row>
    <row r="7" customFormat="false" ht="15" hidden="false" customHeight="true" outlineLevel="0" collapsed="false">
      <c r="A7" s="13" t="s">
        <v>374</v>
      </c>
      <c r="B7" s="5" t="n">
        <v>1</v>
      </c>
      <c r="C7" s="8" t="s">
        <v>464</v>
      </c>
      <c r="D7" s="8" t="s">
        <v>465</v>
      </c>
      <c r="E7" s="8" t="s">
        <v>466</v>
      </c>
    </row>
    <row r="8" customFormat="false" ht="23.25" hidden="false" customHeight="true" outlineLevel="0" collapsed="false">
      <c r="A8" s="10" t="s">
        <v>376</v>
      </c>
      <c r="B8" s="16" t="n">
        <v>1</v>
      </c>
      <c r="C8" s="12" t="s">
        <v>467</v>
      </c>
      <c r="D8" s="12" t="s">
        <v>468</v>
      </c>
      <c r="E8" s="12" t="s">
        <v>469</v>
      </c>
    </row>
    <row r="9" customFormat="false" ht="15" hidden="false" customHeight="true" outlineLevel="0" collapsed="false">
      <c r="A9" s="13" t="s">
        <v>378</v>
      </c>
      <c r="B9" s="5" t="n">
        <v>1</v>
      </c>
      <c r="C9" s="8" t="s">
        <v>470</v>
      </c>
      <c r="D9" s="8" t="s">
        <v>471</v>
      </c>
      <c r="E9" s="8" t="s">
        <v>472</v>
      </c>
    </row>
    <row r="10" customFormat="false" ht="23.25" hidden="false" customHeight="true" outlineLevel="0" collapsed="false">
      <c r="A10" s="10" t="s">
        <v>380</v>
      </c>
      <c r="B10" s="16" t="n">
        <v>1</v>
      </c>
      <c r="C10" s="12" t="s">
        <v>473</v>
      </c>
      <c r="D10" s="12" t="s">
        <v>474</v>
      </c>
      <c r="E10" s="12" t="s">
        <v>475</v>
      </c>
    </row>
    <row r="11" customFormat="false" ht="15" hidden="false" customHeight="true" outlineLevel="0" collapsed="false">
      <c r="A11" s="13" t="s">
        <v>380</v>
      </c>
      <c r="B11" s="5" t="n">
        <v>2</v>
      </c>
      <c r="C11" s="8" t="s">
        <v>476</v>
      </c>
      <c r="D11" s="8" t="s">
        <v>477</v>
      </c>
      <c r="E11" s="8" t="s">
        <v>478</v>
      </c>
    </row>
    <row r="12" customFormat="false" ht="15" hidden="false" customHeight="true" outlineLevel="0" collapsed="false">
      <c r="A12" s="10" t="s">
        <v>380</v>
      </c>
      <c r="B12" s="16" t="n">
        <v>3</v>
      </c>
      <c r="C12" s="12" t="s">
        <v>479</v>
      </c>
      <c r="D12" s="12" t="s">
        <v>480</v>
      </c>
      <c r="E12" s="12" t="s">
        <v>481</v>
      </c>
    </row>
    <row r="13" customFormat="false" ht="15" hidden="false" customHeight="true" outlineLevel="0" collapsed="false">
      <c r="A13" s="13" t="s">
        <v>383</v>
      </c>
      <c r="B13" s="5" t="n">
        <v>1</v>
      </c>
      <c r="C13" s="8" t="s">
        <v>482</v>
      </c>
      <c r="D13" s="8" t="s">
        <v>483</v>
      </c>
      <c r="E13" s="8" t="s">
        <v>484</v>
      </c>
    </row>
    <row r="14" customFormat="false" ht="15" hidden="false" customHeight="true" outlineLevel="0" collapsed="false">
      <c r="A14" s="10" t="s">
        <v>383</v>
      </c>
      <c r="B14" s="16" t="n">
        <v>2</v>
      </c>
      <c r="C14" s="12" t="s">
        <v>485</v>
      </c>
      <c r="D14" s="12" t="s">
        <v>483</v>
      </c>
      <c r="E14" s="12" t="s">
        <v>486</v>
      </c>
    </row>
    <row r="15" customFormat="false" ht="15" hidden="false" customHeight="true" outlineLevel="0" collapsed="false">
      <c r="A15" s="13" t="s">
        <v>385</v>
      </c>
      <c r="B15" s="5" t="n">
        <v>1</v>
      </c>
      <c r="C15" s="8" t="s">
        <v>487</v>
      </c>
      <c r="D15" s="8" t="s">
        <v>488</v>
      </c>
      <c r="E15" s="8" t="s">
        <v>489</v>
      </c>
    </row>
    <row r="16" customFormat="false" ht="15" hidden="false" customHeight="true" outlineLevel="0" collapsed="false">
      <c r="A16" s="10" t="s">
        <v>385</v>
      </c>
      <c r="B16" s="16" t="n">
        <v>2</v>
      </c>
      <c r="C16" s="12" t="s">
        <v>490</v>
      </c>
      <c r="D16" s="12" t="s">
        <v>491</v>
      </c>
      <c r="E16" s="12" t="s">
        <v>492</v>
      </c>
    </row>
    <row r="17" customFormat="false" ht="15" hidden="false" customHeight="true" outlineLevel="0" collapsed="false">
      <c r="A17" s="13" t="s">
        <v>387</v>
      </c>
      <c r="B17" s="5" t="n">
        <v>1</v>
      </c>
      <c r="C17" s="8" t="s">
        <v>493</v>
      </c>
      <c r="D17" s="8" t="s">
        <v>494</v>
      </c>
      <c r="E17" s="8" t="s">
        <v>495</v>
      </c>
    </row>
    <row r="18" customFormat="false" ht="15" hidden="false" customHeight="true" outlineLevel="0" collapsed="false">
      <c r="A18" s="10" t="s">
        <v>390</v>
      </c>
      <c r="B18" s="16" t="n">
        <v>1</v>
      </c>
      <c r="C18" s="12" t="s">
        <v>496</v>
      </c>
      <c r="D18" s="12" t="s">
        <v>497</v>
      </c>
      <c r="E18" s="12" t="s">
        <v>498</v>
      </c>
    </row>
    <row r="19" customFormat="false" ht="15" hidden="false" customHeight="true" outlineLevel="0" collapsed="false">
      <c r="A19" s="13" t="s">
        <v>390</v>
      </c>
      <c r="B19" s="5" t="n">
        <v>2</v>
      </c>
      <c r="C19" s="8" t="s">
        <v>499</v>
      </c>
      <c r="D19" s="8" t="s">
        <v>500</v>
      </c>
      <c r="E19" s="8" t="s">
        <v>501</v>
      </c>
    </row>
    <row r="20" customFormat="false" ht="15" hidden="false" customHeight="true" outlineLevel="0" collapsed="false">
      <c r="A20" s="10" t="s">
        <v>392</v>
      </c>
      <c r="B20" s="16" t="n">
        <v>1</v>
      </c>
      <c r="C20" s="12" t="s">
        <v>502</v>
      </c>
      <c r="D20" s="12" t="s">
        <v>503</v>
      </c>
      <c r="E20" s="12" t="s">
        <v>504</v>
      </c>
    </row>
    <row r="21" customFormat="false" ht="15" hidden="false" customHeight="true" outlineLevel="0" collapsed="false">
      <c r="A21" s="13" t="s">
        <v>394</v>
      </c>
      <c r="B21" s="5" t="n">
        <v>1</v>
      </c>
      <c r="C21" s="8" t="s">
        <v>505</v>
      </c>
      <c r="D21" s="8" t="s">
        <v>506</v>
      </c>
      <c r="E21" s="8" t="s">
        <v>507</v>
      </c>
    </row>
    <row r="22" customFormat="false" ht="15" hidden="false" customHeight="true" outlineLevel="0" collapsed="false">
      <c r="A22" s="10" t="s">
        <v>397</v>
      </c>
      <c r="B22" s="16" t="n">
        <v>1</v>
      </c>
      <c r="C22" s="12" t="s">
        <v>508</v>
      </c>
      <c r="D22" s="12" t="s">
        <v>509</v>
      </c>
      <c r="E22" s="12" t="s">
        <v>510</v>
      </c>
    </row>
    <row r="23" customFormat="false" ht="15" hidden="false" customHeight="true" outlineLevel="0" collapsed="false">
      <c r="A23" s="13" t="s">
        <v>397</v>
      </c>
      <c r="B23" s="5" t="n">
        <v>2</v>
      </c>
      <c r="C23" s="8" t="s">
        <v>511</v>
      </c>
      <c r="D23" s="8" t="s">
        <v>509</v>
      </c>
      <c r="E23" s="8" t="s">
        <v>512</v>
      </c>
    </row>
    <row r="24" customFormat="false" ht="15" hidden="false" customHeight="true" outlineLevel="0" collapsed="false">
      <c r="A24" s="10" t="s">
        <v>399</v>
      </c>
      <c r="B24" s="16" t="n">
        <v>1</v>
      </c>
      <c r="C24" s="12" t="s">
        <v>513</v>
      </c>
      <c r="D24" s="12" t="s">
        <v>514</v>
      </c>
      <c r="E24" s="12" t="s">
        <v>515</v>
      </c>
    </row>
    <row r="25" customFormat="false" ht="23.25" hidden="false" customHeight="true" outlineLevel="0" collapsed="false">
      <c r="A25" s="13" t="s">
        <v>402</v>
      </c>
      <c r="B25" s="5" t="n">
        <v>1</v>
      </c>
      <c r="C25" s="8" t="s">
        <v>516</v>
      </c>
      <c r="D25" s="8" t="s">
        <v>517</v>
      </c>
      <c r="E25" s="8" t="s">
        <v>518</v>
      </c>
    </row>
    <row r="26" customFormat="false" ht="15" hidden="false" customHeight="true" outlineLevel="0" collapsed="false">
      <c r="A26" s="10" t="s">
        <v>404</v>
      </c>
      <c r="B26" s="16" t="n">
        <v>1</v>
      </c>
      <c r="C26" s="12" t="s">
        <v>519</v>
      </c>
      <c r="D26" s="12" t="s">
        <v>520</v>
      </c>
      <c r="E26" s="12" t="s">
        <v>521</v>
      </c>
    </row>
    <row r="27" customFormat="false" ht="15" hidden="false" customHeight="true" outlineLevel="0" collapsed="false">
      <c r="A27" s="13" t="s">
        <v>404</v>
      </c>
      <c r="B27" s="5" t="n">
        <v>2</v>
      </c>
      <c r="C27" s="8" t="s">
        <v>522</v>
      </c>
      <c r="D27" s="8" t="s">
        <v>523</v>
      </c>
      <c r="E27" s="8" t="s">
        <v>524</v>
      </c>
    </row>
    <row r="28" customFormat="false" ht="23.25" hidden="false" customHeight="true" outlineLevel="0" collapsed="false">
      <c r="A28" s="10" t="s">
        <v>406</v>
      </c>
      <c r="B28" s="16" t="n">
        <v>1</v>
      </c>
      <c r="C28" s="12" t="s">
        <v>525</v>
      </c>
      <c r="D28" s="12" t="s">
        <v>526</v>
      </c>
      <c r="E28" s="12" t="s">
        <v>527</v>
      </c>
    </row>
    <row r="29" customFormat="false" ht="15" hidden="false" customHeight="true" outlineLevel="0" collapsed="false">
      <c r="A29" s="13" t="s">
        <v>408</v>
      </c>
      <c r="B29" s="5" t="n">
        <v>1</v>
      </c>
      <c r="C29" s="8" t="s">
        <v>528</v>
      </c>
      <c r="D29" s="8" t="s">
        <v>529</v>
      </c>
      <c r="E29" s="8" t="s">
        <v>530</v>
      </c>
    </row>
    <row r="30" customFormat="false" ht="15" hidden="false" customHeight="true" outlineLevel="0" collapsed="false">
      <c r="A30" s="10" t="s">
        <v>408</v>
      </c>
      <c r="B30" s="16" t="n">
        <v>2</v>
      </c>
      <c r="C30" s="12" t="s">
        <v>531</v>
      </c>
      <c r="D30" s="12" t="s">
        <v>532</v>
      </c>
      <c r="E30" s="12" t="s">
        <v>533</v>
      </c>
    </row>
    <row r="31" customFormat="false" ht="23.25" hidden="false" customHeight="true" outlineLevel="0" collapsed="false">
      <c r="A31" s="13" t="s">
        <v>410</v>
      </c>
      <c r="B31" s="5" t="n">
        <v>1</v>
      </c>
      <c r="C31" s="8" t="s">
        <v>534</v>
      </c>
      <c r="D31" s="8" t="s">
        <v>535</v>
      </c>
      <c r="E31" s="8" t="s">
        <v>536</v>
      </c>
    </row>
    <row r="32" customFormat="false" ht="15" hidden="false" customHeight="true" outlineLevel="0" collapsed="false">
      <c r="A32" s="10" t="s">
        <v>412</v>
      </c>
      <c r="B32" s="16" t="n">
        <v>1</v>
      </c>
      <c r="C32" s="12" t="s">
        <v>537</v>
      </c>
      <c r="D32" s="12" t="s">
        <v>538</v>
      </c>
      <c r="E32" s="12" t="s">
        <v>539</v>
      </c>
    </row>
    <row r="33" customFormat="false" ht="15" hidden="false" customHeight="true" outlineLevel="0" collapsed="false">
      <c r="A33" s="13" t="s">
        <v>414</v>
      </c>
      <c r="B33" s="5" t="n">
        <v>1</v>
      </c>
      <c r="C33" s="8" t="s">
        <v>540</v>
      </c>
      <c r="D33" s="8" t="s">
        <v>541</v>
      </c>
      <c r="E33" s="8" t="s">
        <v>542</v>
      </c>
    </row>
    <row r="34" customFormat="false" ht="15" hidden="false" customHeight="true" outlineLevel="0" collapsed="false">
      <c r="A34" s="10" t="s">
        <v>416</v>
      </c>
      <c r="B34" s="16" t="n">
        <v>1</v>
      </c>
      <c r="C34" s="12" t="s">
        <v>543</v>
      </c>
      <c r="D34" s="12" t="s">
        <v>544</v>
      </c>
      <c r="E34" s="12" t="s">
        <v>545</v>
      </c>
    </row>
    <row r="35" customFormat="false" ht="15" hidden="false" customHeight="true" outlineLevel="0" collapsed="false">
      <c r="A35" s="13" t="s">
        <v>418</v>
      </c>
      <c r="B35" s="5" t="n">
        <v>1</v>
      </c>
      <c r="C35" s="8" t="s">
        <v>546</v>
      </c>
      <c r="D35" s="8" t="s">
        <v>547</v>
      </c>
      <c r="E35" s="8" t="s">
        <v>548</v>
      </c>
    </row>
    <row r="36" customFormat="false" ht="23.25" hidden="false" customHeight="true" outlineLevel="0" collapsed="false">
      <c r="A36" s="10" t="s">
        <v>420</v>
      </c>
      <c r="B36" s="16" t="n">
        <v>1</v>
      </c>
      <c r="C36" s="12" t="s">
        <v>549</v>
      </c>
      <c r="D36" s="12" t="s">
        <v>550</v>
      </c>
      <c r="E36" s="12" t="s">
        <v>551</v>
      </c>
    </row>
    <row r="37" customFormat="false" ht="15" hidden="false" customHeight="true" outlineLevel="0" collapsed="false">
      <c r="A37" s="13" t="s">
        <v>422</v>
      </c>
      <c r="B37" s="5" t="n">
        <v>1</v>
      </c>
      <c r="C37" s="8" t="s">
        <v>552</v>
      </c>
      <c r="D37" s="8" t="s">
        <v>553</v>
      </c>
      <c r="E37" s="8" t="s">
        <v>554</v>
      </c>
    </row>
    <row r="38" customFormat="false" ht="15" hidden="false" customHeight="true" outlineLevel="0" collapsed="false">
      <c r="A38" s="10" t="s">
        <v>424</v>
      </c>
      <c r="B38" s="16" t="n">
        <v>1</v>
      </c>
      <c r="C38" s="12" t="s">
        <v>555</v>
      </c>
      <c r="D38" s="12" t="s">
        <v>556</v>
      </c>
      <c r="E38" s="12" t="s">
        <v>557</v>
      </c>
    </row>
    <row r="39" customFormat="false" ht="15" hidden="false" customHeight="true" outlineLevel="0" collapsed="false">
      <c r="A39" s="13" t="s">
        <v>426</v>
      </c>
      <c r="B39" s="5" t="n">
        <v>1</v>
      </c>
      <c r="C39" s="8" t="s">
        <v>558</v>
      </c>
      <c r="D39" s="8" t="s">
        <v>559</v>
      </c>
      <c r="E39" s="8" t="s">
        <v>560</v>
      </c>
    </row>
    <row r="40" customFormat="false" ht="15" hidden="false" customHeight="true" outlineLevel="0" collapsed="false">
      <c r="A40" s="10" t="s">
        <v>426</v>
      </c>
      <c r="B40" s="16" t="n">
        <v>2</v>
      </c>
      <c r="C40" s="12" t="s">
        <v>561</v>
      </c>
      <c r="D40" s="12" t="s">
        <v>562</v>
      </c>
      <c r="E40" s="12" t="s">
        <v>563</v>
      </c>
    </row>
    <row r="41" customFormat="false" ht="23.25" hidden="false" customHeight="true" outlineLevel="0" collapsed="false">
      <c r="A41" s="13" t="s">
        <v>428</v>
      </c>
      <c r="B41" s="5" t="n">
        <v>1</v>
      </c>
      <c r="C41" s="8" t="s">
        <v>564</v>
      </c>
      <c r="D41" s="8" t="s">
        <v>565</v>
      </c>
      <c r="E41" s="8" t="s">
        <v>566</v>
      </c>
    </row>
    <row r="42" customFormat="false" ht="15" hidden="false" customHeight="true" outlineLevel="0" collapsed="false">
      <c r="A42" s="10" t="s">
        <v>430</v>
      </c>
      <c r="B42" s="16" t="n">
        <v>1</v>
      </c>
      <c r="C42" s="12" t="s">
        <v>567</v>
      </c>
      <c r="D42" s="12" t="s">
        <v>568</v>
      </c>
      <c r="E42" s="12" t="s">
        <v>569</v>
      </c>
    </row>
    <row r="43" customFormat="false" ht="23.25" hidden="false" customHeight="true" outlineLevel="0" collapsed="false">
      <c r="A43" s="13" t="s">
        <v>432</v>
      </c>
      <c r="B43" s="5" t="n">
        <v>1</v>
      </c>
      <c r="C43" s="8" t="s">
        <v>570</v>
      </c>
      <c r="D43" s="8" t="s">
        <v>550</v>
      </c>
      <c r="E43" s="8" t="s">
        <v>571</v>
      </c>
    </row>
    <row r="44" customFormat="false" ht="23.25" hidden="false" customHeight="true" outlineLevel="0" collapsed="false">
      <c r="A44" s="10" t="s">
        <v>434</v>
      </c>
      <c r="B44" s="16" t="n">
        <v>1</v>
      </c>
      <c r="C44" s="12" t="s">
        <v>572</v>
      </c>
      <c r="D44" s="12" t="s">
        <v>573</v>
      </c>
      <c r="E44" s="12" t="s">
        <v>574</v>
      </c>
    </row>
    <row r="45" customFormat="false" ht="15" hidden="false" customHeight="true" outlineLevel="0" collapsed="false">
      <c r="A45" s="13" t="s">
        <v>436</v>
      </c>
      <c r="B45" s="5" t="n">
        <v>1</v>
      </c>
      <c r="C45" s="8" t="s">
        <v>575</v>
      </c>
      <c r="D45" s="8" t="s">
        <v>576</v>
      </c>
      <c r="E45" s="8" t="s">
        <v>577</v>
      </c>
    </row>
    <row r="46" customFormat="false" ht="15" hidden="false" customHeight="true" outlineLevel="0" collapsed="false">
      <c r="A46" s="10" t="s">
        <v>438</v>
      </c>
      <c r="B46" s="16" t="n">
        <v>1</v>
      </c>
      <c r="C46" s="12" t="s">
        <v>578</v>
      </c>
      <c r="D46" s="12" t="s">
        <v>579</v>
      </c>
      <c r="E46" s="12" t="s">
        <v>580</v>
      </c>
    </row>
    <row r="47" customFormat="false" ht="15" hidden="false" customHeight="true" outlineLevel="0" collapsed="false">
      <c r="A47" s="13" t="s">
        <v>440</v>
      </c>
      <c r="B47" s="5" t="n">
        <v>1</v>
      </c>
      <c r="C47" s="8" t="s">
        <v>581</v>
      </c>
      <c r="D47" s="8" t="s">
        <v>514</v>
      </c>
      <c r="E47" s="8" t="s">
        <v>582</v>
      </c>
    </row>
    <row r="48" customFormat="false" ht="23.25" hidden="false" customHeight="true" outlineLevel="0" collapsed="false">
      <c r="A48" s="10" t="s">
        <v>443</v>
      </c>
      <c r="B48" s="16" t="n">
        <v>1</v>
      </c>
      <c r="C48" s="12" t="s">
        <v>583</v>
      </c>
      <c r="D48" s="12" t="s">
        <v>584</v>
      </c>
      <c r="E48" s="12" t="s">
        <v>585</v>
      </c>
    </row>
    <row r="49" customFormat="false" ht="15" hidden="false" customHeight="true" outlineLevel="0" collapsed="false">
      <c r="A49" s="13" t="s">
        <v>445</v>
      </c>
      <c r="B49" s="5" t="n">
        <v>1</v>
      </c>
      <c r="C49" s="8" t="s">
        <v>586</v>
      </c>
      <c r="D49" s="8" t="s">
        <v>587</v>
      </c>
      <c r="E49" s="8" t="s">
        <v>588</v>
      </c>
    </row>
    <row r="50" customFormat="false" ht="15" hidden="false" customHeight="true" outlineLevel="0" collapsed="false">
      <c r="A50" s="10" t="s">
        <v>447</v>
      </c>
      <c r="B50" s="16" t="n">
        <v>1</v>
      </c>
      <c r="C50" s="12" t="s">
        <v>589</v>
      </c>
      <c r="D50" s="12" t="s">
        <v>590</v>
      </c>
      <c r="E50" s="12" t="s">
        <v>591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0"/>
    <col collapsed="false" customWidth="true" hidden="false" outlineLevel="0" max="3" min="3" style="1" width="14"/>
    <col collapsed="false" customWidth="true" hidden="false" outlineLevel="0" max="5" min="4" style="1" width="60"/>
    <col collapsed="false" customWidth="true" hidden="false" outlineLevel="0" max="6" min="6" style="1" width="14"/>
  </cols>
  <sheetData>
    <row r="1" customFormat="false" ht="21.75" hidden="false" customHeight="true" outlineLevel="0" collapsed="false">
      <c r="A1" s="9" t="s">
        <v>592</v>
      </c>
      <c r="B1" s="9"/>
      <c r="C1" s="9"/>
      <c r="D1" s="9"/>
      <c r="E1" s="9"/>
      <c r="F1" s="9"/>
    </row>
    <row r="3" customFormat="false" ht="21.75" hidden="false" customHeight="true" outlineLevel="0" collapsed="false">
      <c r="A3" s="6" t="s">
        <v>363</v>
      </c>
      <c r="B3" s="6" t="s">
        <v>593</v>
      </c>
      <c r="C3" s="6" t="s">
        <v>594</v>
      </c>
      <c r="D3" s="6" t="s">
        <v>98</v>
      </c>
      <c r="E3" s="6" t="s">
        <v>595</v>
      </c>
      <c r="F3" s="6" t="s">
        <v>121</v>
      </c>
    </row>
    <row r="4" customFormat="false" ht="15" hidden="false" customHeight="true" outlineLevel="0" collapsed="false">
      <c r="A4" s="16" t="n">
        <v>1</v>
      </c>
      <c r="B4" s="10" t="s">
        <v>596</v>
      </c>
      <c r="C4" s="12" t="s">
        <v>597</v>
      </c>
      <c r="D4" s="12" t="s">
        <v>598</v>
      </c>
      <c r="E4" s="12" t="s">
        <v>599</v>
      </c>
      <c r="F4" s="10" t="s">
        <v>47</v>
      </c>
    </row>
    <row r="5" customFormat="false" ht="15" hidden="false" customHeight="true" outlineLevel="0" collapsed="false">
      <c r="A5" s="5" t="n">
        <v>1</v>
      </c>
      <c r="B5" s="13" t="s">
        <v>600</v>
      </c>
      <c r="C5" s="8" t="s">
        <v>601</v>
      </c>
      <c r="D5" s="8" t="s">
        <v>602</v>
      </c>
      <c r="E5" s="8" t="s">
        <v>603</v>
      </c>
      <c r="F5" s="13" t="s">
        <v>47</v>
      </c>
    </row>
    <row r="6" customFormat="false" ht="15" hidden="false" customHeight="true" outlineLevel="0" collapsed="false">
      <c r="A6" s="16" t="n">
        <v>1</v>
      </c>
      <c r="B6" s="10" t="s">
        <v>604</v>
      </c>
      <c r="C6" s="12" t="s">
        <v>605</v>
      </c>
      <c r="D6" s="12" t="s">
        <v>606</v>
      </c>
      <c r="E6" s="12" t="s">
        <v>607</v>
      </c>
      <c r="F6" s="10" t="s">
        <v>47</v>
      </c>
    </row>
    <row r="7" customFormat="false" ht="15" hidden="false" customHeight="true" outlineLevel="0" collapsed="false">
      <c r="A7" s="5" t="n">
        <v>1</v>
      </c>
      <c r="B7" s="13" t="s">
        <v>608</v>
      </c>
      <c r="C7" s="8" t="s">
        <v>601</v>
      </c>
      <c r="D7" s="8" t="s">
        <v>609</v>
      </c>
      <c r="E7" s="8" t="s">
        <v>610</v>
      </c>
      <c r="F7" s="13" t="s">
        <v>47</v>
      </c>
    </row>
    <row r="8" customFormat="false" ht="15" hidden="false" customHeight="true" outlineLevel="0" collapsed="false">
      <c r="A8" s="16" t="n">
        <v>1</v>
      </c>
      <c r="B8" s="10" t="s">
        <v>611</v>
      </c>
      <c r="C8" s="12" t="s">
        <v>612</v>
      </c>
      <c r="D8" s="12" t="s">
        <v>613</v>
      </c>
      <c r="E8" s="12" t="s">
        <v>614</v>
      </c>
      <c r="F8" s="10" t="s">
        <v>47</v>
      </c>
    </row>
    <row r="9" customFormat="false" ht="23.25" hidden="false" customHeight="true" outlineLevel="0" collapsed="false">
      <c r="A9" s="5" t="n">
        <v>1</v>
      </c>
      <c r="B9" s="13" t="s">
        <v>615</v>
      </c>
      <c r="C9" s="8" t="s">
        <v>616</v>
      </c>
      <c r="D9" s="8" t="s">
        <v>617</v>
      </c>
      <c r="E9" s="8" t="s">
        <v>618</v>
      </c>
      <c r="F9" s="13" t="s">
        <v>47</v>
      </c>
    </row>
    <row r="10" customFormat="false" ht="15" hidden="false" customHeight="true" outlineLevel="0" collapsed="false">
      <c r="A10" s="16" t="n">
        <v>1</v>
      </c>
      <c r="B10" s="10" t="s">
        <v>619</v>
      </c>
      <c r="C10" s="12" t="s">
        <v>620</v>
      </c>
      <c r="D10" s="12" t="s">
        <v>621</v>
      </c>
      <c r="E10" s="12" t="s">
        <v>622</v>
      </c>
      <c r="F10" s="10" t="s">
        <v>47</v>
      </c>
    </row>
    <row r="11" customFormat="false" ht="15" hidden="false" customHeight="true" outlineLevel="0" collapsed="false">
      <c r="A11" s="5" t="n">
        <v>1</v>
      </c>
      <c r="B11" s="13" t="s">
        <v>623</v>
      </c>
      <c r="C11" s="8" t="s">
        <v>616</v>
      </c>
      <c r="D11" s="8" t="s">
        <v>624</v>
      </c>
      <c r="E11" s="8" t="s">
        <v>625</v>
      </c>
      <c r="F11" s="13" t="s">
        <v>47</v>
      </c>
    </row>
    <row r="12" customFormat="false" ht="15" hidden="false" customHeight="true" outlineLevel="0" collapsed="false">
      <c r="A12" s="16" t="n">
        <v>2</v>
      </c>
      <c r="B12" s="10" t="s">
        <v>626</v>
      </c>
      <c r="C12" s="12" t="s">
        <v>627</v>
      </c>
      <c r="D12" s="12" t="s">
        <v>628</v>
      </c>
      <c r="E12" s="12" t="s">
        <v>629</v>
      </c>
      <c r="F12" s="10" t="s">
        <v>47</v>
      </c>
    </row>
    <row r="13" customFormat="false" ht="15" hidden="false" customHeight="true" outlineLevel="0" collapsed="false">
      <c r="A13" s="5" t="n">
        <v>2</v>
      </c>
      <c r="B13" s="13" t="s">
        <v>630</v>
      </c>
      <c r="C13" s="8" t="s">
        <v>627</v>
      </c>
      <c r="D13" s="8" t="s">
        <v>631</v>
      </c>
      <c r="E13" s="8" t="s">
        <v>632</v>
      </c>
      <c r="F13" s="13" t="s">
        <v>47</v>
      </c>
    </row>
    <row r="14" customFormat="false" ht="15" hidden="false" customHeight="true" outlineLevel="0" collapsed="false">
      <c r="A14" s="16" t="n">
        <v>2</v>
      </c>
      <c r="B14" s="10" t="s">
        <v>633</v>
      </c>
      <c r="C14" s="12" t="s">
        <v>634</v>
      </c>
      <c r="D14" s="12" t="s">
        <v>635</v>
      </c>
      <c r="E14" s="12" t="s">
        <v>636</v>
      </c>
      <c r="F14" s="10" t="s">
        <v>47</v>
      </c>
    </row>
    <row r="15" customFormat="false" ht="15" hidden="false" customHeight="true" outlineLevel="0" collapsed="false">
      <c r="A15" s="5" t="n">
        <v>2</v>
      </c>
      <c r="B15" s="13" t="s">
        <v>637</v>
      </c>
      <c r="C15" s="8" t="s">
        <v>638</v>
      </c>
      <c r="D15" s="8" t="s">
        <v>639</v>
      </c>
      <c r="E15" s="8" t="s">
        <v>640</v>
      </c>
      <c r="F15" s="13" t="s">
        <v>47</v>
      </c>
    </row>
    <row r="16" customFormat="false" ht="15" hidden="false" customHeight="true" outlineLevel="0" collapsed="false">
      <c r="A16" s="16" t="n">
        <v>2</v>
      </c>
      <c r="B16" s="10" t="s">
        <v>641</v>
      </c>
      <c r="C16" s="12" t="s">
        <v>642</v>
      </c>
      <c r="D16" s="12" t="s">
        <v>643</v>
      </c>
      <c r="E16" s="12" t="s">
        <v>644</v>
      </c>
      <c r="F16" s="10" t="s">
        <v>47</v>
      </c>
    </row>
    <row r="17" customFormat="false" ht="15" hidden="false" customHeight="true" outlineLevel="0" collapsed="false">
      <c r="A17" s="5" t="n">
        <v>3</v>
      </c>
      <c r="B17" s="13" t="s">
        <v>645</v>
      </c>
      <c r="C17" s="8" t="s">
        <v>627</v>
      </c>
      <c r="D17" s="8" t="s">
        <v>646</v>
      </c>
      <c r="E17" s="8" t="s">
        <v>647</v>
      </c>
      <c r="F17" s="13" t="s">
        <v>47</v>
      </c>
    </row>
    <row r="18" customFormat="false" ht="15" hidden="false" customHeight="true" outlineLevel="0" collapsed="false">
      <c r="A18" s="16" t="n">
        <v>3</v>
      </c>
      <c r="B18" s="10" t="s">
        <v>648</v>
      </c>
      <c r="C18" s="12" t="s">
        <v>605</v>
      </c>
      <c r="D18" s="12" t="s">
        <v>649</v>
      </c>
      <c r="E18" s="12" t="s">
        <v>650</v>
      </c>
      <c r="F18" s="10" t="s">
        <v>47</v>
      </c>
    </row>
    <row r="19" customFormat="false" ht="15" hidden="false" customHeight="true" outlineLevel="0" collapsed="false">
      <c r="A19" s="5" t="n">
        <v>3</v>
      </c>
      <c r="B19" s="13" t="s">
        <v>651</v>
      </c>
      <c r="C19" s="8" t="s">
        <v>652</v>
      </c>
      <c r="D19" s="8" t="s">
        <v>653</v>
      </c>
      <c r="E19" s="8" t="s">
        <v>654</v>
      </c>
      <c r="F19" s="13" t="s">
        <v>47</v>
      </c>
    </row>
    <row r="20" customFormat="false" ht="15" hidden="false" customHeight="true" outlineLevel="0" collapsed="false">
      <c r="A20" s="16" t="n">
        <v>3</v>
      </c>
      <c r="B20" s="10" t="s">
        <v>655</v>
      </c>
      <c r="C20" s="12" t="s">
        <v>340</v>
      </c>
      <c r="D20" s="12" t="s">
        <v>656</v>
      </c>
      <c r="E20" s="12" t="s">
        <v>657</v>
      </c>
      <c r="F20" s="10" t="s">
        <v>47</v>
      </c>
    </row>
    <row r="21" customFormat="false" ht="15" hidden="false" customHeight="true" outlineLevel="0" collapsed="false">
      <c r="A21" s="5" t="n">
        <v>3</v>
      </c>
      <c r="B21" s="13" t="s">
        <v>658</v>
      </c>
      <c r="C21" s="8" t="s">
        <v>659</v>
      </c>
      <c r="D21" s="8" t="s">
        <v>660</v>
      </c>
      <c r="E21" s="8" t="s">
        <v>632</v>
      </c>
      <c r="F21" s="13" t="s">
        <v>47</v>
      </c>
    </row>
    <row r="22" customFormat="false" ht="15" hidden="false" customHeight="true" outlineLevel="0" collapsed="false">
      <c r="A22" s="16" t="n">
        <v>4</v>
      </c>
      <c r="B22" s="10" t="s">
        <v>661</v>
      </c>
      <c r="C22" s="12" t="s">
        <v>627</v>
      </c>
      <c r="D22" s="12" t="s">
        <v>662</v>
      </c>
      <c r="E22" s="12" t="s">
        <v>663</v>
      </c>
      <c r="F22" s="10" t="s">
        <v>47</v>
      </c>
    </row>
    <row r="23" customFormat="false" ht="15" hidden="false" customHeight="true" outlineLevel="0" collapsed="false">
      <c r="A23" s="5" t="n">
        <v>4</v>
      </c>
      <c r="B23" s="13" t="s">
        <v>664</v>
      </c>
      <c r="C23" s="8" t="s">
        <v>627</v>
      </c>
      <c r="D23" s="8" t="s">
        <v>665</v>
      </c>
      <c r="E23" s="8" t="s">
        <v>666</v>
      </c>
      <c r="F23" s="13" t="s">
        <v>47</v>
      </c>
    </row>
    <row r="24" customFormat="false" ht="15" hidden="false" customHeight="true" outlineLevel="0" collapsed="false">
      <c r="A24" s="16" t="n">
        <v>4</v>
      </c>
      <c r="B24" s="10" t="s">
        <v>667</v>
      </c>
      <c r="C24" s="12" t="s">
        <v>627</v>
      </c>
      <c r="D24" s="12" t="s">
        <v>668</v>
      </c>
      <c r="E24" s="12" t="s">
        <v>669</v>
      </c>
      <c r="F24" s="10" t="s">
        <v>47</v>
      </c>
    </row>
    <row r="25" customFormat="false" ht="15" hidden="false" customHeight="true" outlineLevel="0" collapsed="false">
      <c r="A25" s="5" t="n">
        <v>4</v>
      </c>
      <c r="B25" s="13" t="s">
        <v>670</v>
      </c>
      <c r="C25" s="8" t="s">
        <v>634</v>
      </c>
      <c r="D25" s="8" t="s">
        <v>671</v>
      </c>
      <c r="E25" s="8" t="s">
        <v>672</v>
      </c>
      <c r="F25" s="13" t="s">
        <v>47</v>
      </c>
    </row>
    <row r="26" customFormat="false" ht="15" hidden="false" customHeight="true" outlineLevel="0" collapsed="false">
      <c r="A26" s="16" t="n">
        <v>4</v>
      </c>
      <c r="B26" s="10" t="s">
        <v>673</v>
      </c>
      <c r="C26" s="12" t="s">
        <v>616</v>
      </c>
      <c r="D26" s="12" t="s">
        <v>674</v>
      </c>
      <c r="E26" s="12" t="s">
        <v>675</v>
      </c>
      <c r="F26" s="10" t="s">
        <v>47</v>
      </c>
    </row>
    <row r="27" customFormat="false" ht="15" hidden="false" customHeight="true" outlineLevel="0" collapsed="false">
      <c r="A27" s="5" t="n">
        <v>5</v>
      </c>
      <c r="B27" s="13" t="s">
        <v>676</v>
      </c>
      <c r="C27" s="8" t="s">
        <v>677</v>
      </c>
      <c r="D27" s="8" t="s">
        <v>678</v>
      </c>
      <c r="E27" s="8" t="s">
        <v>679</v>
      </c>
      <c r="F27" s="13" t="s">
        <v>47</v>
      </c>
    </row>
    <row r="28" customFormat="false" ht="15" hidden="false" customHeight="true" outlineLevel="0" collapsed="false">
      <c r="A28" s="16" t="n">
        <v>5</v>
      </c>
      <c r="B28" s="10" t="s">
        <v>680</v>
      </c>
      <c r="C28" s="12" t="s">
        <v>677</v>
      </c>
      <c r="D28" s="12" t="s">
        <v>681</v>
      </c>
      <c r="E28" s="12" t="s">
        <v>682</v>
      </c>
      <c r="F28" s="10" t="s">
        <v>47</v>
      </c>
    </row>
    <row r="29" customFormat="false" ht="15" hidden="false" customHeight="true" outlineLevel="0" collapsed="false">
      <c r="A29" s="5" t="n">
        <v>5</v>
      </c>
      <c r="B29" s="13" t="s">
        <v>683</v>
      </c>
      <c r="C29" s="8" t="s">
        <v>627</v>
      </c>
      <c r="D29" s="8" t="s">
        <v>684</v>
      </c>
      <c r="E29" s="8" t="s">
        <v>685</v>
      </c>
      <c r="F29" s="13" t="s">
        <v>47</v>
      </c>
    </row>
    <row r="30" customFormat="false" ht="15" hidden="false" customHeight="true" outlineLevel="0" collapsed="false">
      <c r="A30" s="16" t="n">
        <v>5</v>
      </c>
      <c r="B30" s="10" t="s">
        <v>686</v>
      </c>
      <c r="C30" s="12" t="s">
        <v>687</v>
      </c>
      <c r="D30" s="12" t="s">
        <v>688</v>
      </c>
      <c r="E30" s="12" t="s">
        <v>689</v>
      </c>
      <c r="F30" s="10" t="s">
        <v>47</v>
      </c>
    </row>
    <row r="31" customFormat="false" ht="15" hidden="false" customHeight="true" outlineLevel="0" collapsed="false">
      <c r="A31" s="5" t="n">
        <v>5</v>
      </c>
      <c r="B31" s="13" t="s">
        <v>690</v>
      </c>
      <c r="C31" s="8" t="s">
        <v>620</v>
      </c>
      <c r="D31" s="8" t="s">
        <v>691</v>
      </c>
      <c r="E31" s="8" t="s">
        <v>692</v>
      </c>
      <c r="F31" s="13" t="s">
        <v>47</v>
      </c>
    </row>
    <row r="32" customFormat="false" ht="15" hidden="false" customHeight="true" outlineLevel="0" collapsed="false">
      <c r="A32" s="16" t="n">
        <v>5</v>
      </c>
      <c r="B32" s="10" t="s">
        <v>693</v>
      </c>
      <c r="C32" s="12" t="s">
        <v>616</v>
      </c>
      <c r="D32" s="12" t="s">
        <v>694</v>
      </c>
      <c r="E32" s="12" t="s">
        <v>695</v>
      </c>
      <c r="F32" s="10" t="s">
        <v>47</v>
      </c>
    </row>
    <row r="33" customFormat="false" ht="15" hidden="false" customHeight="true" outlineLevel="0" collapsed="false">
      <c r="A33" s="5" t="n">
        <v>6</v>
      </c>
      <c r="B33" s="13" t="s">
        <v>696</v>
      </c>
      <c r="C33" s="8" t="s">
        <v>634</v>
      </c>
      <c r="D33" s="8" t="s">
        <v>697</v>
      </c>
      <c r="E33" s="8" t="s">
        <v>698</v>
      </c>
      <c r="F33" s="13" t="s">
        <v>47</v>
      </c>
    </row>
    <row r="34" customFormat="false" ht="15" hidden="false" customHeight="true" outlineLevel="0" collapsed="false">
      <c r="A34" s="16" t="n">
        <v>6</v>
      </c>
      <c r="B34" s="10" t="s">
        <v>699</v>
      </c>
      <c r="C34" s="12" t="s">
        <v>700</v>
      </c>
      <c r="D34" s="12" t="s">
        <v>701</v>
      </c>
      <c r="E34" s="12" t="s">
        <v>702</v>
      </c>
      <c r="F34" s="10" t="s">
        <v>47</v>
      </c>
    </row>
    <row r="35" customFormat="false" ht="15" hidden="false" customHeight="true" outlineLevel="0" collapsed="false">
      <c r="A35" s="5" t="n">
        <v>6</v>
      </c>
      <c r="B35" s="13" t="s">
        <v>703</v>
      </c>
      <c r="C35" s="8" t="s">
        <v>627</v>
      </c>
      <c r="D35" s="8" t="s">
        <v>704</v>
      </c>
      <c r="E35" s="8" t="s">
        <v>705</v>
      </c>
      <c r="F35" s="13" t="s">
        <v>47</v>
      </c>
    </row>
    <row r="36" customFormat="false" ht="15" hidden="false" customHeight="true" outlineLevel="0" collapsed="false">
      <c r="A36" s="16" t="n">
        <v>6</v>
      </c>
      <c r="B36" s="10" t="s">
        <v>706</v>
      </c>
      <c r="C36" s="12" t="s">
        <v>340</v>
      </c>
      <c r="D36" s="12" t="s">
        <v>707</v>
      </c>
      <c r="E36" s="12" t="s">
        <v>708</v>
      </c>
      <c r="F36" s="10" t="s">
        <v>47</v>
      </c>
    </row>
    <row r="37" customFormat="false" ht="15" hidden="false" customHeight="true" outlineLevel="0" collapsed="false">
      <c r="A37" s="5" t="n">
        <v>6</v>
      </c>
      <c r="B37" s="13" t="s">
        <v>709</v>
      </c>
      <c r="C37" s="8" t="s">
        <v>710</v>
      </c>
      <c r="D37" s="8" t="s">
        <v>711</v>
      </c>
      <c r="E37" s="8" t="s">
        <v>712</v>
      </c>
      <c r="F37" s="13" t="s">
        <v>47</v>
      </c>
    </row>
    <row r="38" customFormat="false" ht="15" hidden="false" customHeight="true" outlineLevel="0" collapsed="false">
      <c r="A38" s="16" t="n">
        <v>7</v>
      </c>
      <c r="B38" s="10" t="s">
        <v>713</v>
      </c>
      <c r="C38" s="12" t="s">
        <v>634</v>
      </c>
      <c r="D38" s="12" t="s">
        <v>714</v>
      </c>
      <c r="E38" s="12" t="s">
        <v>715</v>
      </c>
      <c r="F38" s="10" t="s">
        <v>47</v>
      </c>
    </row>
    <row r="39" customFormat="false" ht="15" hidden="false" customHeight="true" outlineLevel="0" collapsed="false">
      <c r="A39" s="5" t="n">
        <v>7</v>
      </c>
      <c r="B39" s="13" t="s">
        <v>716</v>
      </c>
      <c r="C39" s="8" t="s">
        <v>601</v>
      </c>
      <c r="D39" s="8" t="s">
        <v>717</v>
      </c>
      <c r="E39" s="8" t="s">
        <v>718</v>
      </c>
      <c r="F39" s="13" t="s">
        <v>47</v>
      </c>
    </row>
    <row r="40" customFormat="false" ht="15" hidden="false" customHeight="true" outlineLevel="0" collapsed="false">
      <c r="A40" s="16" t="n">
        <v>7</v>
      </c>
      <c r="B40" s="10" t="s">
        <v>719</v>
      </c>
      <c r="C40" s="12" t="s">
        <v>616</v>
      </c>
      <c r="D40" s="12" t="s">
        <v>720</v>
      </c>
      <c r="E40" s="12" t="s">
        <v>721</v>
      </c>
      <c r="F40" s="10" t="s">
        <v>47</v>
      </c>
    </row>
    <row r="41" customFormat="false" ht="15" hidden="false" customHeight="true" outlineLevel="0" collapsed="false">
      <c r="A41" s="5" t="n">
        <v>7</v>
      </c>
      <c r="B41" s="13" t="s">
        <v>722</v>
      </c>
      <c r="C41" s="8" t="s">
        <v>710</v>
      </c>
      <c r="D41" s="8" t="s">
        <v>723</v>
      </c>
      <c r="E41" s="8" t="s">
        <v>712</v>
      </c>
      <c r="F41" s="13" t="s">
        <v>47</v>
      </c>
    </row>
    <row r="42" customFormat="false" ht="15" hidden="false" customHeight="true" outlineLevel="0" collapsed="false">
      <c r="A42" s="16" t="n">
        <v>7</v>
      </c>
      <c r="B42" s="10" t="s">
        <v>724</v>
      </c>
      <c r="C42" s="12" t="s">
        <v>616</v>
      </c>
      <c r="D42" s="12" t="s">
        <v>725</v>
      </c>
      <c r="E42" s="12" t="s">
        <v>726</v>
      </c>
      <c r="F42" s="10" t="s">
        <v>47</v>
      </c>
    </row>
    <row r="43" customFormat="false" ht="15" hidden="false" customHeight="true" outlineLevel="0" collapsed="false">
      <c r="A43" s="5" t="n">
        <v>8</v>
      </c>
      <c r="B43" s="13" t="s">
        <v>727</v>
      </c>
      <c r="C43" s="8" t="s">
        <v>627</v>
      </c>
      <c r="D43" s="8" t="s">
        <v>728</v>
      </c>
      <c r="E43" s="8" t="s">
        <v>729</v>
      </c>
      <c r="F43" s="13" t="s">
        <v>47</v>
      </c>
    </row>
    <row r="44" customFormat="false" ht="15" hidden="false" customHeight="true" outlineLevel="0" collapsed="false">
      <c r="A44" s="16" t="n">
        <v>8</v>
      </c>
      <c r="B44" s="10" t="s">
        <v>730</v>
      </c>
      <c r="C44" s="12" t="s">
        <v>601</v>
      </c>
      <c r="D44" s="12" t="s">
        <v>731</v>
      </c>
      <c r="E44" s="12" t="s">
        <v>325</v>
      </c>
      <c r="F44" s="10" t="s">
        <v>47</v>
      </c>
    </row>
    <row r="45" customFormat="false" ht="15" hidden="false" customHeight="true" outlineLevel="0" collapsed="false">
      <c r="A45" s="5" t="n">
        <v>8</v>
      </c>
      <c r="B45" s="13" t="s">
        <v>732</v>
      </c>
      <c r="C45" s="8" t="s">
        <v>659</v>
      </c>
      <c r="D45" s="8" t="s">
        <v>733</v>
      </c>
      <c r="E45" s="8" t="s">
        <v>319</v>
      </c>
      <c r="F45" s="13" t="s">
        <v>47</v>
      </c>
    </row>
    <row r="46" customFormat="false" ht="15" hidden="false" customHeight="true" outlineLevel="0" collapsed="false">
      <c r="A46" s="16" t="n">
        <v>8</v>
      </c>
      <c r="B46" s="10" t="s">
        <v>734</v>
      </c>
      <c r="C46" s="12" t="s">
        <v>634</v>
      </c>
      <c r="D46" s="12" t="s">
        <v>735</v>
      </c>
      <c r="E46" s="12" t="s">
        <v>736</v>
      </c>
      <c r="F46" s="10" t="s">
        <v>47</v>
      </c>
    </row>
    <row r="47" customFormat="false" ht="15" hidden="false" customHeight="true" outlineLevel="0" collapsed="false">
      <c r="A47" s="5" t="n">
        <v>8</v>
      </c>
      <c r="B47" s="13" t="s">
        <v>737</v>
      </c>
      <c r="C47" s="8" t="s">
        <v>638</v>
      </c>
      <c r="D47" s="8" t="s">
        <v>738</v>
      </c>
      <c r="E47" s="8" t="s">
        <v>640</v>
      </c>
      <c r="F47" s="13" t="s">
        <v>47</v>
      </c>
    </row>
    <row r="48" customFormat="false" ht="15" hidden="false" customHeight="true" outlineLevel="0" collapsed="false">
      <c r="A48" s="16" t="n">
        <v>9</v>
      </c>
      <c r="B48" s="10" t="s">
        <v>739</v>
      </c>
      <c r="C48" s="12" t="s">
        <v>627</v>
      </c>
      <c r="D48" s="12" t="s">
        <v>740</v>
      </c>
      <c r="E48" s="12" t="s">
        <v>741</v>
      </c>
      <c r="F48" s="10" t="s">
        <v>47</v>
      </c>
    </row>
    <row r="49" customFormat="false" ht="15" hidden="false" customHeight="true" outlineLevel="0" collapsed="false">
      <c r="A49" s="5" t="n">
        <v>9</v>
      </c>
      <c r="B49" s="13" t="s">
        <v>742</v>
      </c>
      <c r="C49" s="8" t="s">
        <v>659</v>
      </c>
      <c r="D49" s="8" t="s">
        <v>743</v>
      </c>
      <c r="E49" s="8" t="s">
        <v>744</v>
      </c>
      <c r="F49" s="13" t="s">
        <v>47</v>
      </c>
    </row>
    <row r="50" customFormat="false" ht="15" hidden="false" customHeight="true" outlineLevel="0" collapsed="false">
      <c r="A50" s="16" t="n">
        <v>9</v>
      </c>
      <c r="B50" s="10" t="s">
        <v>745</v>
      </c>
      <c r="C50" s="12" t="s">
        <v>659</v>
      </c>
      <c r="D50" s="12" t="s">
        <v>746</v>
      </c>
      <c r="E50" s="12" t="s">
        <v>747</v>
      </c>
      <c r="F50" s="10" t="s">
        <v>47</v>
      </c>
    </row>
    <row r="51" customFormat="false" ht="15" hidden="false" customHeight="true" outlineLevel="0" collapsed="false">
      <c r="A51" s="5" t="n">
        <v>9</v>
      </c>
      <c r="B51" s="13" t="s">
        <v>748</v>
      </c>
      <c r="C51" s="8" t="s">
        <v>616</v>
      </c>
      <c r="D51" s="8" t="s">
        <v>749</v>
      </c>
      <c r="E51" s="8" t="s">
        <v>750</v>
      </c>
      <c r="F51" s="13" t="s">
        <v>47</v>
      </c>
    </row>
    <row r="52" customFormat="false" ht="15" hidden="false" customHeight="true" outlineLevel="0" collapsed="false">
      <c r="A52" s="16" t="n">
        <v>10</v>
      </c>
      <c r="B52" s="10" t="s">
        <v>751</v>
      </c>
      <c r="C52" s="12" t="s">
        <v>627</v>
      </c>
      <c r="D52" s="12" t="s">
        <v>752</v>
      </c>
      <c r="E52" s="12" t="s">
        <v>753</v>
      </c>
      <c r="F52" s="10" t="s">
        <v>47</v>
      </c>
    </row>
    <row r="53" customFormat="false" ht="15" hidden="false" customHeight="true" outlineLevel="0" collapsed="false">
      <c r="A53" s="5" t="n">
        <v>10</v>
      </c>
      <c r="B53" s="13" t="s">
        <v>754</v>
      </c>
      <c r="C53" s="8" t="s">
        <v>627</v>
      </c>
      <c r="D53" s="8" t="s">
        <v>755</v>
      </c>
      <c r="E53" s="8" t="s">
        <v>756</v>
      </c>
      <c r="F53" s="13" t="s">
        <v>47</v>
      </c>
    </row>
    <row r="54" customFormat="false" ht="15" hidden="false" customHeight="true" outlineLevel="0" collapsed="false">
      <c r="A54" s="16" t="n">
        <v>10</v>
      </c>
      <c r="B54" s="10" t="s">
        <v>757</v>
      </c>
      <c r="C54" s="12" t="s">
        <v>634</v>
      </c>
      <c r="D54" s="12" t="s">
        <v>758</v>
      </c>
      <c r="E54" s="12" t="s">
        <v>759</v>
      </c>
      <c r="F54" s="10" t="s">
        <v>47</v>
      </c>
    </row>
    <row r="55" customFormat="false" ht="15" hidden="false" customHeight="true" outlineLevel="0" collapsed="false">
      <c r="A55" s="5" t="n">
        <v>10</v>
      </c>
      <c r="B55" s="13" t="s">
        <v>760</v>
      </c>
      <c r="C55" s="8" t="s">
        <v>761</v>
      </c>
      <c r="D55" s="8" t="s">
        <v>762</v>
      </c>
      <c r="E55" s="8" t="s">
        <v>763</v>
      </c>
      <c r="F55" s="13" t="s">
        <v>47</v>
      </c>
    </row>
    <row r="56" customFormat="false" ht="15" hidden="false" customHeight="true" outlineLevel="0" collapsed="false">
      <c r="A56" s="16" t="n">
        <v>10</v>
      </c>
      <c r="B56" s="10" t="s">
        <v>764</v>
      </c>
      <c r="C56" s="12" t="s">
        <v>634</v>
      </c>
      <c r="D56" s="12" t="s">
        <v>765</v>
      </c>
      <c r="E56" s="12" t="s">
        <v>672</v>
      </c>
      <c r="F56" s="10" t="s">
        <v>47</v>
      </c>
    </row>
    <row r="57" customFormat="false" ht="15" hidden="false" customHeight="true" outlineLevel="0" collapsed="false">
      <c r="A57" s="5" t="n">
        <v>11</v>
      </c>
      <c r="B57" s="13" t="s">
        <v>766</v>
      </c>
      <c r="C57" s="8" t="s">
        <v>627</v>
      </c>
      <c r="D57" s="8" t="s">
        <v>767</v>
      </c>
      <c r="E57" s="8" t="s">
        <v>768</v>
      </c>
      <c r="F57" s="13" t="s">
        <v>47</v>
      </c>
    </row>
    <row r="58" customFormat="false" ht="15" hidden="false" customHeight="true" outlineLevel="0" collapsed="false">
      <c r="A58" s="16" t="n">
        <v>11</v>
      </c>
      <c r="B58" s="10" t="s">
        <v>769</v>
      </c>
      <c r="C58" s="12" t="s">
        <v>627</v>
      </c>
      <c r="D58" s="12" t="s">
        <v>770</v>
      </c>
      <c r="E58" s="12" t="s">
        <v>771</v>
      </c>
      <c r="F58" s="10" t="s">
        <v>47</v>
      </c>
    </row>
    <row r="59" customFormat="false" ht="15" hidden="false" customHeight="true" outlineLevel="0" collapsed="false">
      <c r="A59" s="5" t="n">
        <v>11</v>
      </c>
      <c r="B59" s="13" t="s">
        <v>772</v>
      </c>
      <c r="C59" s="8" t="s">
        <v>638</v>
      </c>
      <c r="D59" s="8" t="s">
        <v>773</v>
      </c>
      <c r="E59" s="8" t="s">
        <v>640</v>
      </c>
      <c r="F59" s="13" t="s">
        <v>47</v>
      </c>
    </row>
    <row r="60" customFormat="false" ht="15" hidden="false" customHeight="true" outlineLevel="0" collapsed="false">
      <c r="A60" s="16" t="n">
        <v>11</v>
      </c>
      <c r="B60" s="10" t="s">
        <v>774</v>
      </c>
      <c r="C60" s="12" t="s">
        <v>775</v>
      </c>
      <c r="D60" s="12" t="s">
        <v>776</v>
      </c>
      <c r="E60" s="12" t="s">
        <v>777</v>
      </c>
      <c r="F60" s="10" t="s">
        <v>47</v>
      </c>
    </row>
    <row r="61" customFormat="false" ht="15" hidden="false" customHeight="true" outlineLevel="0" collapsed="false">
      <c r="A61" s="5" t="n">
        <v>12</v>
      </c>
      <c r="B61" s="13" t="s">
        <v>778</v>
      </c>
      <c r="C61" s="8" t="s">
        <v>627</v>
      </c>
      <c r="D61" s="8" t="s">
        <v>779</v>
      </c>
      <c r="E61" s="8" t="s">
        <v>780</v>
      </c>
      <c r="F61" s="13" t="s">
        <v>47</v>
      </c>
    </row>
    <row r="62" customFormat="false" ht="15" hidden="false" customHeight="true" outlineLevel="0" collapsed="false">
      <c r="A62" s="16" t="n">
        <v>12</v>
      </c>
      <c r="B62" s="10" t="s">
        <v>781</v>
      </c>
      <c r="C62" s="12" t="s">
        <v>616</v>
      </c>
      <c r="D62" s="12" t="s">
        <v>782</v>
      </c>
      <c r="E62" s="12" t="s">
        <v>783</v>
      </c>
      <c r="F62" s="10" t="s">
        <v>47</v>
      </c>
    </row>
    <row r="63" customFormat="false" ht="15" hidden="false" customHeight="true" outlineLevel="0" collapsed="false">
      <c r="A63" s="5" t="n">
        <v>12</v>
      </c>
      <c r="B63" s="13" t="s">
        <v>784</v>
      </c>
      <c r="C63" s="8" t="s">
        <v>634</v>
      </c>
      <c r="D63" s="8" t="s">
        <v>785</v>
      </c>
      <c r="E63" s="8" t="s">
        <v>786</v>
      </c>
      <c r="F63" s="13" t="s">
        <v>47</v>
      </c>
    </row>
    <row r="64" customFormat="false" ht="15" hidden="false" customHeight="true" outlineLevel="0" collapsed="false">
      <c r="A64" s="16" t="n">
        <v>12</v>
      </c>
      <c r="B64" s="10" t="s">
        <v>787</v>
      </c>
      <c r="C64" s="12" t="s">
        <v>788</v>
      </c>
      <c r="D64" s="12" t="s">
        <v>789</v>
      </c>
      <c r="E64" s="12" t="s">
        <v>790</v>
      </c>
      <c r="F64" s="10" t="s">
        <v>47</v>
      </c>
    </row>
    <row r="65" customFormat="false" ht="15" hidden="false" customHeight="true" outlineLevel="0" collapsed="false">
      <c r="A65" s="5" t="n">
        <v>13</v>
      </c>
      <c r="B65" s="13" t="s">
        <v>791</v>
      </c>
      <c r="C65" s="8" t="s">
        <v>652</v>
      </c>
      <c r="D65" s="8" t="s">
        <v>792</v>
      </c>
      <c r="E65" s="8" t="s">
        <v>793</v>
      </c>
      <c r="F65" s="13" t="s">
        <v>47</v>
      </c>
    </row>
    <row r="66" customFormat="false" ht="15" hidden="false" customHeight="true" outlineLevel="0" collapsed="false">
      <c r="A66" s="16" t="n">
        <v>13</v>
      </c>
      <c r="B66" s="10" t="s">
        <v>794</v>
      </c>
      <c r="C66" s="12" t="s">
        <v>795</v>
      </c>
      <c r="D66" s="12" t="s">
        <v>796</v>
      </c>
      <c r="E66" s="12" t="s">
        <v>797</v>
      </c>
      <c r="F66" s="10" t="s">
        <v>47</v>
      </c>
    </row>
    <row r="67" customFormat="false" ht="15" hidden="false" customHeight="true" outlineLevel="0" collapsed="false">
      <c r="A67" s="5" t="n">
        <v>13</v>
      </c>
      <c r="B67" s="13" t="s">
        <v>798</v>
      </c>
      <c r="C67" s="8" t="s">
        <v>799</v>
      </c>
      <c r="D67" s="8" t="s">
        <v>800</v>
      </c>
      <c r="E67" s="8" t="s">
        <v>801</v>
      </c>
      <c r="F67" s="13" t="s">
        <v>47</v>
      </c>
    </row>
    <row r="68" customFormat="false" ht="15" hidden="false" customHeight="true" outlineLevel="0" collapsed="false">
      <c r="A68" s="16" t="n">
        <v>13</v>
      </c>
      <c r="B68" s="10" t="s">
        <v>802</v>
      </c>
      <c r="C68" s="12" t="s">
        <v>616</v>
      </c>
      <c r="D68" s="12" t="s">
        <v>803</v>
      </c>
      <c r="E68" s="12" t="s">
        <v>804</v>
      </c>
      <c r="F68" s="10" t="s">
        <v>47</v>
      </c>
    </row>
    <row r="69" customFormat="false" ht="15" hidden="false" customHeight="true" outlineLevel="0" collapsed="false">
      <c r="A69" s="5" t="n">
        <v>13</v>
      </c>
      <c r="B69" s="13" t="s">
        <v>805</v>
      </c>
      <c r="C69" s="8" t="s">
        <v>710</v>
      </c>
      <c r="D69" s="8" t="s">
        <v>806</v>
      </c>
      <c r="E69" s="8" t="s">
        <v>807</v>
      </c>
      <c r="F69" s="13" t="s">
        <v>47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4"/>
    <col collapsed="false" customWidth="true" hidden="false" outlineLevel="0" max="3" min="3" style="1" width="80"/>
    <col collapsed="false" customWidth="true" hidden="false" outlineLevel="0" max="4" min="4" style="1" width="14"/>
  </cols>
  <sheetData>
    <row r="1" customFormat="false" ht="21.75" hidden="false" customHeight="true" outlineLevel="0" collapsed="false">
      <c r="A1" s="9" t="s">
        <v>808</v>
      </c>
      <c r="B1" s="9"/>
      <c r="C1" s="9"/>
      <c r="D1" s="9"/>
    </row>
    <row r="3" customFormat="false" ht="21.75" hidden="false" customHeight="true" outlineLevel="0" collapsed="false">
      <c r="A3" s="6" t="s">
        <v>363</v>
      </c>
      <c r="B3" s="6" t="s">
        <v>594</v>
      </c>
      <c r="C3" s="6" t="s">
        <v>809</v>
      </c>
      <c r="D3" s="6" t="s">
        <v>121</v>
      </c>
    </row>
    <row r="4" customFormat="false" ht="15" hidden="false" customHeight="true" outlineLevel="0" collapsed="false">
      <c r="A4" s="16" t="n">
        <v>1</v>
      </c>
      <c r="B4" s="10" t="s">
        <v>612</v>
      </c>
      <c r="C4" s="12" t="s">
        <v>810</v>
      </c>
      <c r="D4" s="12" t="s">
        <v>811</v>
      </c>
    </row>
    <row r="5" customFormat="false" ht="15" hidden="false" customHeight="true" outlineLevel="0" collapsed="false">
      <c r="A5" s="5" t="n">
        <v>1</v>
      </c>
      <c r="B5" s="13" t="s">
        <v>812</v>
      </c>
      <c r="C5" s="8" t="s">
        <v>813</v>
      </c>
      <c r="D5" s="8" t="s">
        <v>811</v>
      </c>
    </row>
    <row r="6" customFormat="false" ht="15" hidden="false" customHeight="true" outlineLevel="0" collapsed="false">
      <c r="A6" s="16" t="n">
        <v>1</v>
      </c>
      <c r="B6" s="10" t="s">
        <v>814</v>
      </c>
      <c r="C6" s="12" t="s">
        <v>815</v>
      </c>
      <c r="D6" s="12" t="s">
        <v>811</v>
      </c>
    </row>
    <row r="7" customFormat="false" ht="15" hidden="false" customHeight="true" outlineLevel="0" collapsed="false">
      <c r="A7" s="5" t="n">
        <v>1</v>
      </c>
      <c r="B7" s="13" t="s">
        <v>616</v>
      </c>
      <c r="C7" s="8" t="s">
        <v>816</v>
      </c>
      <c r="D7" s="8" t="s">
        <v>811</v>
      </c>
    </row>
    <row r="8" customFormat="false" ht="15" hidden="false" customHeight="true" outlineLevel="0" collapsed="false">
      <c r="A8" s="16" t="n">
        <v>1</v>
      </c>
      <c r="B8" s="10" t="s">
        <v>817</v>
      </c>
      <c r="C8" s="12" t="s">
        <v>818</v>
      </c>
      <c r="D8" s="12" t="s">
        <v>811</v>
      </c>
    </row>
    <row r="9" customFormat="false" ht="15" hidden="false" customHeight="true" outlineLevel="0" collapsed="false">
      <c r="A9" s="5" t="n">
        <v>1</v>
      </c>
      <c r="B9" s="13" t="s">
        <v>710</v>
      </c>
      <c r="C9" s="8" t="s">
        <v>819</v>
      </c>
      <c r="D9" s="8" t="s">
        <v>811</v>
      </c>
    </row>
    <row r="10" customFormat="false" ht="15" hidden="false" customHeight="true" outlineLevel="0" collapsed="false">
      <c r="A10" s="16" t="n">
        <v>2</v>
      </c>
      <c r="B10" s="10" t="s">
        <v>820</v>
      </c>
      <c r="C10" s="12" t="s">
        <v>821</v>
      </c>
      <c r="D10" s="12" t="s">
        <v>811</v>
      </c>
    </row>
    <row r="11" customFormat="false" ht="15" hidden="false" customHeight="true" outlineLevel="0" collapsed="false">
      <c r="A11" s="5" t="n">
        <v>2</v>
      </c>
      <c r="B11" s="13" t="s">
        <v>642</v>
      </c>
      <c r="C11" s="8" t="s">
        <v>822</v>
      </c>
      <c r="D11" s="8" t="s">
        <v>811</v>
      </c>
    </row>
    <row r="12" customFormat="false" ht="15" hidden="false" customHeight="true" outlineLevel="0" collapsed="false">
      <c r="A12" s="16" t="n">
        <v>2</v>
      </c>
      <c r="B12" s="10" t="s">
        <v>817</v>
      </c>
      <c r="C12" s="12" t="s">
        <v>823</v>
      </c>
      <c r="D12" s="12" t="s">
        <v>811</v>
      </c>
    </row>
    <row r="13" customFormat="false" ht="15" hidden="false" customHeight="true" outlineLevel="0" collapsed="false">
      <c r="A13" s="5" t="n">
        <v>2</v>
      </c>
      <c r="B13" s="13" t="s">
        <v>824</v>
      </c>
      <c r="C13" s="8" t="s">
        <v>825</v>
      </c>
      <c r="D13" s="8" t="s">
        <v>811</v>
      </c>
    </row>
    <row r="14" customFormat="false" ht="15" hidden="false" customHeight="true" outlineLevel="0" collapsed="false">
      <c r="A14" s="16" t="n">
        <v>2</v>
      </c>
      <c r="B14" s="10" t="s">
        <v>652</v>
      </c>
      <c r="C14" s="12" t="s">
        <v>826</v>
      </c>
      <c r="D14" s="12" t="s">
        <v>811</v>
      </c>
    </row>
    <row r="15" customFormat="false" ht="15" hidden="false" customHeight="true" outlineLevel="0" collapsed="false">
      <c r="A15" s="5" t="n">
        <v>3</v>
      </c>
      <c r="B15" s="13" t="s">
        <v>605</v>
      </c>
      <c r="C15" s="8" t="s">
        <v>827</v>
      </c>
      <c r="D15" s="8" t="s">
        <v>811</v>
      </c>
    </row>
    <row r="16" customFormat="false" ht="15" hidden="false" customHeight="true" outlineLevel="0" collapsed="false">
      <c r="A16" s="16" t="n">
        <v>3</v>
      </c>
      <c r="B16" s="10" t="s">
        <v>828</v>
      </c>
      <c r="C16" s="12" t="s">
        <v>829</v>
      </c>
      <c r="D16" s="12" t="s">
        <v>811</v>
      </c>
    </row>
    <row r="17" customFormat="false" ht="15" hidden="false" customHeight="true" outlineLevel="0" collapsed="false">
      <c r="A17" s="5" t="n">
        <v>3</v>
      </c>
      <c r="B17" s="13" t="s">
        <v>830</v>
      </c>
      <c r="C17" s="8" t="s">
        <v>831</v>
      </c>
      <c r="D17" s="8" t="s">
        <v>811</v>
      </c>
    </row>
    <row r="18" customFormat="false" ht="15" hidden="false" customHeight="true" outlineLevel="0" collapsed="false">
      <c r="A18" s="16" t="n">
        <v>3</v>
      </c>
      <c r="B18" s="10" t="s">
        <v>620</v>
      </c>
      <c r="C18" s="12" t="s">
        <v>832</v>
      </c>
      <c r="D18" s="12" t="s">
        <v>811</v>
      </c>
    </row>
    <row r="19" customFormat="false" ht="15" hidden="false" customHeight="true" outlineLevel="0" collapsed="false">
      <c r="A19" s="5" t="n">
        <v>3</v>
      </c>
      <c r="B19" s="13" t="s">
        <v>833</v>
      </c>
      <c r="C19" s="8" t="s">
        <v>834</v>
      </c>
      <c r="D19" s="8" t="s">
        <v>811</v>
      </c>
    </row>
    <row r="20" customFormat="false" ht="15" hidden="false" customHeight="true" outlineLevel="0" collapsed="false">
      <c r="A20" s="16" t="n">
        <v>4</v>
      </c>
      <c r="B20" s="10" t="s">
        <v>820</v>
      </c>
      <c r="C20" s="12" t="s">
        <v>835</v>
      </c>
      <c r="D20" s="12" t="s">
        <v>811</v>
      </c>
    </row>
    <row r="21" customFormat="false" ht="15" hidden="false" customHeight="true" outlineLevel="0" collapsed="false">
      <c r="A21" s="5" t="n">
        <v>4</v>
      </c>
      <c r="B21" s="13" t="s">
        <v>820</v>
      </c>
      <c r="C21" s="8" t="s">
        <v>836</v>
      </c>
      <c r="D21" s="8" t="s">
        <v>811</v>
      </c>
    </row>
    <row r="22" customFormat="false" ht="15" hidden="false" customHeight="true" outlineLevel="0" collapsed="false">
      <c r="A22" s="16" t="n">
        <v>4</v>
      </c>
      <c r="B22" s="10" t="s">
        <v>817</v>
      </c>
      <c r="C22" s="12" t="s">
        <v>837</v>
      </c>
      <c r="D22" s="12" t="s">
        <v>811</v>
      </c>
    </row>
    <row r="23" customFormat="false" ht="15" hidden="false" customHeight="true" outlineLevel="0" collapsed="false">
      <c r="A23" s="5" t="n">
        <v>4</v>
      </c>
      <c r="B23" s="13" t="s">
        <v>838</v>
      </c>
      <c r="C23" s="8" t="s">
        <v>839</v>
      </c>
      <c r="D23" s="8" t="s">
        <v>811</v>
      </c>
    </row>
    <row r="24" customFormat="false" ht="15" hidden="false" customHeight="true" outlineLevel="0" collapsed="false">
      <c r="A24" s="16" t="n">
        <v>4</v>
      </c>
      <c r="B24" s="10" t="s">
        <v>788</v>
      </c>
      <c r="C24" s="12" t="s">
        <v>840</v>
      </c>
      <c r="D24" s="12" t="s">
        <v>811</v>
      </c>
    </row>
    <row r="25" customFormat="false" ht="15" hidden="false" customHeight="true" outlineLevel="0" collapsed="false">
      <c r="A25" s="5" t="n">
        <v>5</v>
      </c>
      <c r="B25" s="13" t="s">
        <v>677</v>
      </c>
      <c r="C25" s="8" t="s">
        <v>841</v>
      </c>
      <c r="D25" s="8" t="s">
        <v>811</v>
      </c>
    </row>
    <row r="26" customFormat="false" ht="15" hidden="false" customHeight="true" outlineLevel="0" collapsed="false">
      <c r="A26" s="16" t="n">
        <v>5</v>
      </c>
      <c r="B26" s="10" t="s">
        <v>842</v>
      </c>
      <c r="C26" s="12" t="s">
        <v>843</v>
      </c>
      <c r="D26" s="12" t="s">
        <v>811</v>
      </c>
    </row>
    <row r="27" customFormat="false" ht="15" hidden="false" customHeight="true" outlineLevel="0" collapsed="false">
      <c r="A27" s="5" t="n">
        <v>5</v>
      </c>
      <c r="B27" s="13" t="s">
        <v>710</v>
      </c>
      <c r="C27" s="8" t="s">
        <v>844</v>
      </c>
      <c r="D27" s="8" t="s">
        <v>811</v>
      </c>
    </row>
    <row r="28" customFormat="false" ht="15" hidden="false" customHeight="true" outlineLevel="0" collapsed="false">
      <c r="A28" s="16" t="n">
        <v>5</v>
      </c>
      <c r="B28" s="10" t="s">
        <v>838</v>
      </c>
      <c r="C28" s="12" t="s">
        <v>845</v>
      </c>
      <c r="D28" s="12" t="s">
        <v>811</v>
      </c>
    </row>
    <row r="29" customFormat="false" ht="15" hidden="false" customHeight="true" outlineLevel="0" collapsed="false">
      <c r="A29" s="5" t="n">
        <v>5</v>
      </c>
      <c r="B29" s="13" t="s">
        <v>620</v>
      </c>
      <c r="C29" s="8" t="s">
        <v>846</v>
      </c>
      <c r="D29" s="8" t="s">
        <v>811</v>
      </c>
    </row>
    <row r="30" customFormat="false" ht="15" hidden="false" customHeight="true" outlineLevel="0" collapsed="false">
      <c r="A30" s="16" t="n">
        <v>6</v>
      </c>
      <c r="B30" s="10" t="s">
        <v>817</v>
      </c>
      <c r="C30" s="12" t="s">
        <v>847</v>
      </c>
      <c r="D30" s="12" t="s">
        <v>811</v>
      </c>
    </row>
    <row r="31" customFormat="false" ht="15" hidden="false" customHeight="true" outlineLevel="0" collapsed="false">
      <c r="A31" s="5" t="n">
        <v>6</v>
      </c>
      <c r="B31" s="13" t="s">
        <v>848</v>
      </c>
      <c r="C31" s="8" t="s">
        <v>849</v>
      </c>
      <c r="D31" s="8" t="s">
        <v>811</v>
      </c>
    </row>
    <row r="32" customFormat="false" ht="15" hidden="false" customHeight="true" outlineLevel="0" collapsed="false">
      <c r="A32" s="16" t="n">
        <v>6</v>
      </c>
      <c r="B32" s="10" t="s">
        <v>850</v>
      </c>
      <c r="C32" s="12" t="s">
        <v>851</v>
      </c>
      <c r="D32" s="12" t="s">
        <v>811</v>
      </c>
    </row>
    <row r="33" customFormat="false" ht="15" hidden="false" customHeight="true" outlineLevel="0" collapsed="false">
      <c r="A33" s="5" t="n">
        <v>6</v>
      </c>
      <c r="B33" s="13" t="s">
        <v>710</v>
      </c>
      <c r="C33" s="8" t="s">
        <v>852</v>
      </c>
      <c r="D33" s="8" t="s">
        <v>811</v>
      </c>
    </row>
    <row r="34" customFormat="false" ht="15" hidden="false" customHeight="true" outlineLevel="0" collapsed="false">
      <c r="A34" s="16" t="n">
        <v>6</v>
      </c>
      <c r="B34" s="10" t="s">
        <v>853</v>
      </c>
      <c r="C34" s="12" t="s">
        <v>854</v>
      </c>
      <c r="D34" s="12" t="s">
        <v>811</v>
      </c>
    </row>
    <row r="35" customFormat="false" ht="15" hidden="false" customHeight="true" outlineLevel="0" collapsed="false">
      <c r="A35" s="5" t="n">
        <v>7</v>
      </c>
      <c r="B35" s="13" t="s">
        <v>855</v>
      </c>
      <c r="C35" s="8" t="s">
        <v>856</v>
      </c>
      <c r="D35" s="8" t="s">
        <v>811</v>
      </c>
    </row>
    <row r="36" customFormat="false" ht="15" hidden="false" customHeight="true" outlineLevel="0" collapsed="false">
      <c r="A36" s="16" t="n">
        <v>7</v>
      </c>
      <c r="B36" s="10" t="s">
        <v>799</v>
      </c>
      <c r="C36" s="12" t="s">
        <v>857</v>
      </c>
      <c r="D36" s="12" t="s">
        <v>811</v>
      </c>
    </row>
    <row r="37" customFormat="false" ht="15" hidden="false" customHeight="true" outlineLevel="0" collapsed="false">
      <c r="A37" s="5" t="n">
        <v>7</v>
      </c>
      <c r="B37" s="13" t="s">
        <v>858</v>
      </c>
      <c r="C37" s="8" t="s">
        <v>859</v>
      </c>
      <c r="D37" s="8" t="s">
        <v>811</v>
      </c>
    </row>
    <row r="38" customFormat="false" ht="15" hidden="false" customHeight="true" outlineLevel="0" collapsed="false">
      <c r="A38" s="16" t="n">
        <v>7</v>
      </c>
      <c r="B38" s="10" t="s">
        <v>860</v>
      </c>
      <c r="C38" s="12" t="s">
        <v>861</v>
      </c>
      <c r="D38" s="12" t="s">
        <v>811</v>
      </c>
    </row>
    <row r="39" customFormat="false" ht="15" hidden="false" customHeight="true" outlineLevel="0" collapsed="false">
      <c r="A39" s="5" t="n">
        <v>7</v>
      </c>
      <c r="B39" s="13" t="s">
        <v>710</v>
      </c>
      <c r="C39" s="8" t="s">
        <v>862</v>
      </c>
      <c r="D39" s="8" t="s">
        <v>811</v>
      </c>
    </row>
    <row r="40" customFormat="false" ht="15" hidden="false" customHeight="true" outlineLevel="0" collapsed="false">
      <c r="A40" s="16" t="n">
        <v>8</v>
      </c>
      <c r="B40" s="10" t="s">
        <v>820</v>
      </c>
      <c r="C40" s="12" t="s">
        <v>863</v>
      </c>
      <c r="D40" s="12" t="s">
        <v>811</v>
      </c>
    </row>
    <row r="41" customFormat="false" ht="15" hidden="false" customHeight="true" outlineLevel="0" collapsed="false">
      <c r="A41" s="5" t="n">
        <v>8</v>
      </c>
      <c r="B41" s="13" t="s">
        <v>842</v>
      </c>
      <c r="C41" s="8" t="s">
        <v>864</v>
      </c>
      <c r="D41" s="8" t="s">
        <v>811</v>
      </c>
    </row>
    <row r="42" customFormat="false" ht="15" hidden="false" customHeight="true" outlineLevel="0" collapsed="false">
      <c r="A42" s="16" t="n">
        <v>8</v>
      </c>
      <c r="B42" s="10" t="s">
        <v>814</v>
      </c>
      <c r="C42" s="12" t="s">
        <v>865</v>
      </c>
      <c r="D42" s="12" t="s">
        <v>811</v>
      </c>
    </row>
    <row r="43" customFormat="false" ht="15" hidden="false" customHeight="true" outlineLevel="0" collapsed="false">
      <c r="A43" s="5" t="n">
        <v>8</v>
      </c>
      <c r="B43" s="13" t="s">
        <v>642</v>
      </c>
      <c r="C43" s="8" t="s">
        <v>866</v>
      </c>
      <c r="D43" s="8" t="s">
        <v>811</v>
      </c>
    </row>
    <row r="44" customFormat="false" ht="15" hidden="false" customHeight="true" outlineLevel="0" collapsed="false">
      <c r="A44" s="16" t="n">
        <v>8</v>
      </c>
      <c r="B44" s="10" t="s">
        <v>867</v>
      </c>
      <c r="C44" s="12" t="s">
        <v>868</v>
      </c>
      <c r="D44" s="12" t="s">
        <v>811</v>
      </c>
    </row>
    <row r="45" customFormat="false" ht="15" hidden="false" customHeight="true" outlineLevel="0" collapsed="false">
      <c r="A45" s="5" t="n">
        <v>9</v>
      </c>
      <c r="B45" s="13" t="s">
        <v>820</v>
      </c>
      <c r="C45" s="8" t="s">
        <v>869</v>
      </c>
      <c r="D45" s="8" t="s">
        <v>811</v>
      </c>
    </row>
    <row r="46" customFormat="false" ht="15" hidden="false" customHeight="true" outlineLevel="0" collapsed="false">
      <c r="A46" s="16" t="n">
        <v>9</v>
      </c>
      <c r="B46" s="10" t="s">
        <v>870</v>
      </c>
      <c r="C46" s="12" t="s">
        <v>871</v>
      </c>
      <c r="D46" s="12" t="s">
        <v>811</v>
      </c>
    </row>
    <row r="47" customFormat="false" ht="15" hidden="false" customHeight="true" outlineLevel="0" collapsed="false">
      <c r="A47" s="5" t="n">
        <v>9</v>
      </c>
      <c r="B47" s="13" t="s">
        <v>872</v>
      </c>
      <c r="C47" s="8" t="s">
        <v>873</v>
      </c>
      <c r="D47" s="8" t="s">
        <v>811</v>
      </c>
    </row>
    <row r="48" customFormat="false" ht="15" hidden="false" customHeight="true" outlineLevel="0" collapsed="false">
      <c r="A48" s="16" t="n">
        <v>9</v>
      </c>
      <c r="B48" s="10" t="s">
        <v>874</v>
      </c>
      <c r="C48" s="12" t="s">
        <v>875</v>
      </c>
      <c r="D48" s="12" t="s">
        <v>811</v>
      </c>
    </row>
    <row r="49" customFormat="false" ht="15" hidden="false" customHeight="true" outlineLevel="0" collapsed="false">
      <c r="A49" s="5" t="n">
        <v>9</v>
      </c>
      <c r="B49" s="13" t="s">
        <v>817</v>
      </c>
      <c r="C49" s="8" t="s">
        <v>876</v>
      </c>
      <c r="D49" s="8" t="s">
        <v>811</v>
      </c>
    </row>
    <row r="50" customFormat="false" ht="15" hidden="false" customHeight="true" outlineLevel="0" collapsed="false">
      <c r="A50" s="16" t="n">
        <v>10</v>
      </c>
      <c r="B50" s="10" t="s">
        <v>820</v>
      </c>
      <c r="C50" s="12" t="s">
        <v>877</v>
      </c>
      <c r="D50" s="12" t="s">
        <v>811</v>
      </c>
    </row>
    <row r="51" customFormat="false" ht="15" hidden="false" customHeight="true" outlineLevel="0" collapsed="false">
      <c r="A51" s="5" t="n">
        <v>10</v>
      </c>
      <c r="B51" s="13" t="s">
        <v>842</v>
      </c>
      <c r="C51" s="8" t="s">
        <v>878</v>
      </c>
      <c r="D51" s="8" t="s">
        <v>811</v>
      </c>
    </row>
    <row r="52" customFormat="false" ht="15" hidden="false" customHeight="true" outlineLevel="0" collapsed="false">
      <c r="A52" s="16" t="n">
        <v>10</v>
      </c>
      <c r="B52" s="10" t="s">
        <v>879</v>
      </c>
      <c r="C52" s="12" t="s">
        <v>880</v>
      </c>
      <c r="D52" s="12" t="s">
        <v>811</v>
      </c>
    </row>
    <row r="53" customFormat="false" ht="15" hidden="false" customHeight="true" outlineLevel="0" collapsed="false">
      <c r="A53" s="5" t="n">
        <v>10</v>
      </c>
      <c r="B53" s="13" t="s">
        <v>850</v>
      </c>
      <c r="C53" s="8" t="s">
        <v>881</v>
      </c>
      <c r="D53" s="8" t="s">
        <v>811</v>
      </c>
    </row>
    <row r="54" customFormat="false" ht="15" hidden="false" customHeight="true" outlineLevel="0" collapsed="false">
      <c r="A54" s="16" t="n">
        <v>10</v>
      </c>
      <c r="B54" s="10" t="s">
        <v>817</v>
      </c>
      <c r="C54" s="12" t="s">
        <v>882</v>
      </c>
      <c r="D54" s="12" t="s">
        <v>811</v>
      </c>
    </row>
    <row r="55" customFormat="false" ht="15" hidden="false" customHeight="true" outlineLevel="0" collapsed="false">
      <c r="A55" s="5" t="n">
        <v>11</v>
      </c>
      <c r="B55" s="13" t="s">
        <v>820</v>
      </c>
      <c r="C55" s="8" t="s">
        <v>883</v>
      </c>
      <c r="D55" s="8" t="s">
        <v>811</v>
      </c>
    </row>
    <row r="56" customFormat="false" ht="15" hidden="false" customHeight="true" outlineLevel="0" collapsed="false">
      <c r="A56" s="16" t="n">
        <v>11</v>
      </c>
      <c r="B56" s="10" t="s">
        <v>824</v>
      </c>
      <c r="C56" s="12" t="s">
        <v>884</v>
      </c>
      <c r="D56" s="12" t="s">
        <v>811</v>
      </c>
    </row>
    <row r="57" customFormat="false" ht="15" hidden="false" customHeight="true" outlineLevel="0" collapsed="false">
      <c r="A57" s="5" t="n">
        <v>11</v>
      </c>
      <c r="B57" s="13" t="s">
        <v>775</v>
      </c>
      <c r="C57" s="8" t="s">
        <v>885</v>
      </c>
      <c r="D57" s="8" t="s">
        <v>811</v>
      </c>
    </row>
    <row r="58" customFormat="false" ht="15" hidden="false" customHeight="true" outlineLevel="0" collapsed="false">
      <c r="A58" s="16" t="n">
        <v>11</v>
      </c>
      <c r="B58" s="10" t="s">
        <v>817</v>
      </c>
      <c r="C58" s="12" t="s">
        <v>886</v>
      </c>
      <c r="D58" s="12" t="s">
        <v>811</v>
      </c>
    </row>
    <row r="59" customFormat="false" ht="15" hidden="false" customHeight="true" outlineLevel="0" collapsed="false">
      <c r="A59" s="5" t="n">
        <v>11</v>
      </c>
      <c r="B59" s="13" t="s">
        <v>887</v>
      </c>
      <c r="C59" s="8" t="s">
        <v>888</v>
      </c>
      <c r="D59" s="8" t="s">
        <v>811</v>
      </c>
    </row>
    <row r="60" customFormat="false" ht="15" hidden="false" customHeight="true" outlineLevel="0" collapsed="false">
      <c r="A60" s="16" t="n">
        <v>12</v>
      </c>
      <c r="B60" s="10" t="s">
        <v>889</v>
      </c>
      <c r="C60" s="12" t="s">
        <v>890</v>
      </c>
      <c r="D60" s="12" t="s">
        <v>811</v>
      </c>
    </row>
    <row r="61" customFormat="false" ht="15" hidden="false" customHeight="true" outlineLevel="0" collapsed="false">
      <c r="A61" s="5" t="n">
        <v>12</v>
      </c>
      <c r="B61" s="13" t="s">
        <v>824</v>
      </c>
      <c r="C61" s="8" t="s">
        <v>891</v>
      </c>
      <c r="D61" s="8" t="s">
        <v>811</v>
      </c>
    </row>
    <row r="62" customFormat="false" ht="15" hidden="false" customHeight="true" outlineLevel="0" collapsed="false">
      <c r="A62" s="16" t="n">
        <v>12</v>
      </c>
      <c r="B62" s="10" t="s">
        <v>892</v>
      </c>
      <c r="C62" s="12" t="s">
        <v>893</v>
      </c>
      <c r="D62" s="12" t="s">
        <v>811</v>
      </c>
    </row>
    <row r="63" customFormat="false" ht="15" hidden="false" customHeight="true" outlineLevel="0" collapsed="false">
      <c r="A63" s="5" t="n">
        <v>12</v>
      </c>
      <c r="B63" s="13" t="s">
        <v>788</v>
      </c>
      <c r="C63" s="8" t="s">
        <v>894</v>
      </c>
      <c r="D63" s="8" t="s">
        <v>811</v>
      </c>
    </row>
    <row r="64" customFormat="false" ht="15" hidden="false" customHeight="true" outlineLevel="0" collapsed="false">
      <c r="A64" s="16" t="n">
        <v>12</v>
      </c>
      <c r="B64" s="10" t="s">
        <v>616</v>
      </c>
      <c r="C64" s="12" t="s">
        <v>895</v>
      </c>
      <c r="D64" s="12" t="s">
        <v>811</v>
      </c>
    </row>
    <row r="65" customFormat="false" ht="15" hidden="false" customHeight="true" outlineLevel="0" collapsed="false">
      <c r="A65" s="5" t="n">
        <v>13</v>
      </c>
      <c r="B65" s="13" t="s">
        <v>652</v>
      </c>
      <c r="C65" s="8" t="s">
        <v>896</v>
      </c>
      <c r="D65" s="8" t="s">
        <v>811</v>
      </c>
    </row>
    <row r="66" customFormat="false" ht="15" hidden="false" customHeight="true" outlineLevel="0" collapsed="false">
      <c r="A66" s="16" t="n">
        <v>13</v>
      </c>
      <c r="B66" s="10" t="s">
        <v>795</v>
      </c>
      <c r="C66" s="12" t="s">
        <v>897</v>
      </c>
      <c r="D66" s="12" t="s">
        <v>811</v>
      </c>
    </row>
    <row r="67" customFormat="false" ht="15" hidden="false" customHeight="true" outlineLevel="0" collapsed="false">
      <c r="A67" s="5" t="n">
        <v>13</v>
      </c>
      <c r="B67" s="13" t="s">
        <v>799</v>
      </c>
      <c r="C67" s="8" t="s">
        <v>898</v>
      </c>
      <c r="D67" s="8" t="s">
        <v>811</v>
      </c>
    </row>
    <row r="68" customFormat="false" ht="15" hidden="false" customHeight="true" outlineLevel="0" collapsed="false">
      <c r="A68" s="16" t="n">
        <v>13</v>
      </c>
      <c r="B68" s="10" t="s">
        <v>899</v>
      </c>
      <c r="C68" s="12" t="s">
        <v>900</v>
      </c>
      <c r="D68" s="12" t="s">
        <v>811</v>
      </c>
    </row>
    <row r="69" customFormat="false" ht="15" hidden="false" customHeight="true" outlineLevel="0" collapsed="false">
      <c r="A69" s="5" t="n">
        <v>13</v>
      </c>
      <c r="B69" s="13" t="s">
        <v>838</v>
      </c>
      <c r="C69" s="8" t="s">
        <v>901</v>
      </c>
      <c r="D69" s="8" t="s">
        <v>811</v>
      </c>
    </row>
    <row r="70" customFormat="false" ht="15" hidden="false" customHeight="true" outlineLevel="0" collapsed="false">
      <c r="A70" s="16" t="n">
        <v>13</v>
      </c>
      <c r="B70" s="10" t="s">
        <v>710</v>
      </c>
      <c r="C70" s="12" t="s">
        <v>902</v>
      </c>
      <c r="D70" s="12" t="s">
        <v>811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6"/>
    <col collapsed="false" customWidth="true" hidden="false" outlineLevel="0" max="3" min="3" style="1" width="50"/>
    <col collapsed="false" customWidth="true" hidden="false" outlineLevel="0" max="4" min="4" style="1" width="60"/>
  </cols>
  <sheetData>
    <row r="1" customFormat="false" ht="21.75" hidden="false" customHeight="true" outlineLevel="0" collapsed="false">
      <c r="A1" s="9" t="s">
        <v>903</v>
      </c>
      <c r="B1" s="9"/>
      <c r="C1" s="9"/>
      <c r="D1" s="9"/>
    </row>
    <row r="3" customFormat="false" ht="21.75" hidden="false" customHeight="true" outlineLevel="0" collapsed="false">
      <c r="A3" s="6" t="s">
        <v>363</v>
      </c>
      <c r="B3" s="6" t="s">
        <v>904</v>
      </c>
      <c r="C3" s="6" t="s">
        <v>905</v>
      </c>
      <c r="D3" s="6" t="s">
        <v>906</v>
      </c>
    </row>
    <row r="4" customFormat="false" ht="15" hidden="false" customHeight="true" outlineLevel="0" collapsed="false">
      <c r="A4" s="16" t="n">
        <v>1</v>
      </c>
      <c r="B4" s="10" t="s">
        <v>907</v>
      </c>
      <c r="C4" s="12" t="s">
        <v>908</v>
      </c>
      <c r="D4" s="12" t="s">
        <v>909</v>
      </c>
    </row>
    <row r="5" customFormat="false" ht="15" hidden="false" customHeight="true" outlineLevel="0" collapsed="false">
      <c r="A5" s="5" t="n">
        <v>1</v>
      </c>
      <c r="B5" s="13" t="s">
        <v>907</v>
      </c>
      <c r="C5" s="8" t="s">
        <v>910</v>
      </c>
      <c r="D5" s="8" t="s">
        <v>911</v>
      </c>
    </row>
    <row r="6" customFormat="false" ht="15" hidden="false" customHeight="true" outlineLevel="0" collapsed="false">
      <c r="A6" s="16" t="n">
        <v>1</v>
      </c>
      <c r="B6" s="10" t="s">
        <v>907</v>
      </c>
      <c r="C6" s="12" t="s">
        <v>912</v>
      </c>
      <c r="D6" s="12" t="s">
        <v>913</v>
      </c>
    </row>
    <row r="7" customFormat="false" ht="15" hidden="false" customHeight="true" outlineLevel="0" collapsed="false">
      <c r="A7" s="5" t="n">
        <v>1</v>
      </c>
      <c r="B7" s="13" t="s">
        <v>814</v>
      </c>
      <c r="C7" s="8" t="s">
        <v>914</v>
      </c>
      <c r="D7" s="8" t="s">
        <v>915</v>
      </c>
    </row>
    <row r="8" customFormat="false" ht="15" hidden="false" customHeight="true" outlineLevel="0" collapsed="false">
      <c r="A8" s="16" t="n">
        <v>2</v>
      </c>
      <c r="B8" s="10" t="s">
        <v>907</v>
      </c>
      <c r="C8" s="12" t="s">
        <v>916</v>
      </c>
      <c r="D8" s="12" t="s">
        <v>917</v>
      </c>
    </row>
    <row r="9" customFormat="false" ht="15" hidden="false" customHeight="true" outlineLevel="0" collapsed="false">
      <c r="A9" s="5" t="n">
        <v>2</v>
      </c>
      <c r="B9" s="13" t="s">
        <v>907</v>
      </c>
      <c r="C9" s="8" t="s">
        <v>918</v>
      </c>
      <c r="D9" s="8" t="s">
        <v>919</v>
      </c>
    </row>
    <row r="10" customFormat="false" ht="15" hidden="false" customHeight="true" outlineLevel="0" collapsed="false">
      <c r="A10" s="16" t="n">
        <v>2</v>
      </c>
      <c r="B10" s="10" t="s">
        <v>907</v>
      </c>
      <c r="C10" s="12" t="s">
        <v>920</v>
      </c>
      <c r="D10" s="12" t="s">
        <v>921</v>
      </c>
    </row>
    <row r="11" customFormat="false" ht="15" hidden="false" customHeight="true" outlineLevel="0" collapsed="false">
      <c r="A11" s="5" t="n">
        <v>2</v>
      </c>
      <c r="B11" s="13" t="s">
        <v>659</v>
      </c>
      <c r="C11" s="8" t="s">
        <v>922</v>
      </c>
      <c r="D11" s="8" t="s">
        <v>923</v>
      </c>
    </row>
    <row r="12" customFormat="false" ht="15" hidden="false" customHeight="true" outlineLevel="0" collapsed="false">
      <c r="A12" s="16" t="n">
        <v>2</v>
      </c>
      <c r="B12" s="10" t="s">
        <v>924</v>
      </c>
      <c r="C12" s="12" t="s">
        <v>925</v>
      </c>
      <c r="D12" s="12" t="s">
        <v>926</v>
      </c>
    </row>
    <row r="13" customFormat="false" ht="15" hidden="false" customHeight="true" outlineLevel="0" collapsed="false">
      <c r="A13" s="5" t="n">
        <v>3</v>
      </c>
      <c r="B13" s="13" t="s">
        <v>907</v>
      </c>
      <c r="C13" s="8" t="s">
        <v>927</v>
      </c>
      <c r="D13" s="8" t="s">
        <v>928</v>
      </c>
    </row>
    <row r="14" customFormat="false" ht="15" hidden="false" customHeight="true" outlineLevel="0" collapsed="false">
      <c r="A14" s="16" t="n">
        <v>3</v>
      </c>
      <c r="B14" s="10" t="s">
        <v>907</v>
      </c>
      <c r="C14" s="12" t="s">
        <v>929</v>
      </c>
      <c r="D14" s="12" t="s">
        <v>930</v>
      </c>
    </row>
    <row r="15" customFormat="false" ht="15" hidden="false" customHeight="true" outlineLevel="0" collapsed="false">
      <c r="A15" s="5" t="n">
        <v>3</v>
      </c>
      <c r="B15" s="13" t="s">
        <v>907</v>
      </c>
      <c r="C15" s="8" t="s">
        <v>931</v>
      </c>
      <c r="D15" s="8" t="s">
        <v>932</v>
      </c>
    </row>
    <row r="16" customFormat="false" ht="15" hidden="false" customHeight="true" outlineLevel="0" collapsed="false">
      <c r="A16" s="16" t="n">
        <v>3</v>
      </c>
      <c r="B16" s="10" t="s">
        <v>907</v>
      </c>
      <c r="C16" s="12" t="s">
        <v>933</v>
      </c>
      <c r="D16" s="12" t="s">
        <v>932</v>
      </c>
    </row>
    <row r="17" customFormat="false" ht="15" hidden="false" customHeight="true" outlineLevel="0" collapsed="false">
      <c r="A17" s="5" t="n">
        <v>3</v>
      </c>
      <c r="B17" s="13" t="s">
        <v>659</v>
      </c>
      <c r="C17" s="8" t="s">
        <v>934</v>
      </c>
      <c r="D17" s="8" t="s">
        <v>935</v>
      </c>
    </row>
    <row r="18" customFormat="false" ht="15" hidden="false" customHeight="true" outlineLevel="0" collapsed="false">
      <c r="A18" s="16" t="n">
        <v>3</v>
      </c>
      <c r="B18" s="10" t="s">
        <v>814</v>
      </c>
      <c r="C18" s="12" t="s">
        <v>918</v>
      </c>
      <c r="D18" s="12" t="s">
        <v>936</v>
      </c>
    </row>
    <row r="19" customFormat="false" ht="15" hidden="false" customHeight="true" outlineLevel="0" collapsed="false">
      <c r="A19" s="5" t="n">
        <v>4</v>
      </c>
      <c r="B19" s="13" t="s">
        <v>907</v>
      </c>
      <c r="C19" s="8" t="s">
        <v>937</v>
      </c>
      <c r="D19" s="8" t="s">
        <v>938</v>
      </c>
    </row>
    <row r="20" customFormat="false" ht="15" hidden="false" customHeight="true" outlineLevel="0" collapsed="false">
      <c r="A20" s="16" t="n">
        <v>4</v>
      </c>
      <c r="B20" s="10" t="s">
        <v>907</v>
      </c>
      <c r="C20" s="12" t="s">
        <v>939</v>
      </c>
      <c r="D20" s="12" t="s">
        <v>940</v>
      </c>
    </row>
    <row r="21" customFormat="false" ht="15" hidden="false" customHeight="true" outlineLevel="0" collapsed="false">
      <c r="A21" s="5" t="n">
        <v>4</v>
      </c>
      <c r="B21" s="13" t="s">
        <v>907</v>
      </c>
      <c r="C21" s="8" t="s">
        <v>941</v>
      </c>
      <c r="D21" s="8" t="s">
        <v>942</v>
      </c>
    </row>
    <row r="22" customFormat="false" ht="15" hidden="false" customHeight="true" outlineLevel="0" collapsed="false">
      <c r="A22" s="16" t="n">
        <v>4</v>
      </c>
      <c r="B22" s="10" t="s">
        <v>659</v>
      </c>
      <c r="C22" s="12" t="s">
        <v>943</v>
      </c>
      <c r="D22" s="12" t="s">
        <v>944</v>
      </c>
    </row>
    <row r="23" customFormat="false" ht="15" hidden="false" customHeight="true" outlineLevel="0" collapsed="false">
      <c r="A23" s="5" t="n">
        <v>4</v>
      </c>
      <c r="B23" s="13" t="s">
        <v>638</v>
      </c>
      <c r="C23" s="8" t="s">
        <v>945</v>
      </c>
      <c r="D23" s="8" t="s">
        <v>946</v>
      </c>
    </row>
    <row r="24" customFormat="false" ht="15" hidden="false" customHeight="true" outlineLevel="0" collapsed="false">
      <c r="A24" s="16" t="n">
        <v>5</v>
      </c>
      <c r="B24" s="10" t="s">
        <v>907</v>
      </c>
      <c r="C24" s="12" t="s">
        <v>947</v>
      </c>
      <c r="D24" s="12" t="s">
        <v>948</v>
      </c>
    </row>
    <row r="25" customFormat="false" ht="15" hidden="false" customHeight="true" outlineLevel="0" collapsed="false">
      <c r="A25" s="5" t="n">
        <v>5</v>
      </c>
      <c r="B25" s="13" t="s">
        <v>907</v>
      </c>
      <c r="C25" s="8" t="s">
        <v>949</v>
      </c>
      <c r="D25" s="8" t="s">
        <v>950</v>
      </c>
    </row>
    <row r="26" customFormat="false" ht="15" hidden="false" customHeight="true" outlineLevel="0" collapsed="false">
      <c r="A26" s="16" t="n">
        <v>5</v>
      </c>
      <c r="B26" s="10" t="s">
        <v>659</v>
      </c>
      <c r="C26" s="12" t="s">
        <v>951</v>
      </c>
      <c r="D26" s="12" t="s">
        <v>952</v>
      </c>
    </row>
    <row r="27" customFormat="false" ht="15" hidden="false" customHeight="true" outlineLevel="0" collapsed="false">
      <c r="A27" s="5" t="n">
        <v>5</v>
      </c>
      <c r="B27" s="13" t="s">
        <v>814</v>
      </c>
      <c r="C27" s="8" t="s">
        <v>953</v>
      </c>
      <c r="D27" s="8" t="s">
        <v>954</v>
      </c>
    </row>
    <row r="28" customFormat="false" ht="15" hidden="false" customHeight="true" outlineLevel="0" collapsed="false">
      <c r="A28" s="16" t="n">
        <v>6</v>
      </c>
      <c r="B28" s="10" t="s">
        <v>907</v>
      </c>
      <c r="C28" s="12" t="s">
        <v>955</v>
      </c>
      <c r="D28" s="12" t="s">
        <v>956</v>
      </c>
    </row>
    <row r="29" customFormat="false" ht="15" hidden="false" customHeight="true" outlineLevel="0" collapsed="false">
      <c r="A29" s="5" t="n">
        <v>6</v>
      </c>
      <c r="B29" s="13" t="s">
        <v>957</v>
      </c>
      <c r="C29" s="8" t="s">
        <v>958</v>
      </c>
      <c r="D29" s="8" t="s">
        <v>959</v>
      </c>
    </row>
    <row r="30" customFormat="false" ht="15" hidden="false" customHeight="true" outlineLevel="0" collapsed="false">
      <c r="A30" s="16" t="n">
        <v>6</v>
      </c>
      <c r="B30" s="10" t="s">
        <v>659</v>
      </c>
      <c r="C30" s="12" t="s">
        <v>960</v>
      </c>
      <c r="D30" s="12" t="s">
        <v>961</v>
      </c>
    </row>
    <row r="31" customFormat="false" ht="15" hidden="false" customHeight="true" outlineLevel="0" collapsed="false">
      <c r="A31" s="5" t="n">
        <v>6</v>
      </c>
      <c r="B31" s="13" t="s">
        <v>700</v>
      </c>
      <c r="C31" s="8" t="s">
        <v>962</v>
      </c>
      <c r="D31" s="8" t="s">
        <v>963</v>
      </c>
    </row>
    <row r="32" customFormat="false" ht="15" hidden="false" customHeight="true" outlineLevel="0" collapsed="false">
      <c r="A32" s="16" t="n">
        <v>6</v>
      </c>
      <c r="B32" s="10" t="s">
        <v>814</v>
      </c>
      <c r="C32" s="12" t="s">
        <v>964</v>
      </c>
      <c r="D32" s="12" t="s">
        <v>965</v>
      </c>
    </row>
    <row r="33" customFormat="false" ht="15" hidden="false" customHeight="true" outlineLevel="0" collapsed="false">
      <c r="A33" s="5" t="n">
        <v>7</v>
      </c>
      <c r="B33" s="13" t="s">
        <v>957</v>
      </c>
      <c r="C33" s="8" t="s">
        <v>966</v>
      </c>
      <c r="D33" s="8" t="s">
        <v>967</v>
      </c>
    </row>
    <row r="34" customFormat="false" ht="15" hidden="false" customHeight="true" outlineLevel="0" collapsed="false">
      <c r="A34" s="16" t="n">
        <v>7</v>
      </c>
      <c r="B34" s="10" t="s">
        <v>968</v>
      </c>
      <c r="C34" s="12" t="s">
        <v>969</v>
      </c>
      <c r="D34" s="12" t="s">
        <v>970</v>
      </c>
    </row>
    <row r="35" customFormat="false" ht="15" hidden="false" customHeight="true" outlineLevel="0" collapsed="false">
      <c r="A35" s="5" t="n">
        <v>7</v>
      </c>
      <c r="B35" s="13" t="s">
        <v>659</v>
      </c>
      <c r="C35" s="8" t="s">
        <v>971</v>
      </c>
      <c r="D35" s="8" t="s">
        <v>972</v>
      </c>
    </row>
    <row r="36" customFormat="false" ht="15" hidden="false" customHeight="true" outlineLevel="0" collapsed="false">
      <c r="A36" s="16" t="n">
        <v>7</v>
      </c>
      <c r="B36" s="10" t="s">
        <v>973</v>
      </c>
      <c r="C36" s="12" t="s">
        <v>974</v>
      </c>
      <c r="D36" s="12" t="s">
        <v>975</v>
      </c>
    </row>
    <row r="37" customFormat="false" ht="15" hidden="false" customHeight="true" outlineLevel="0" collapsed="false">
      <c r="A37" s="5" t="n">
        <v>8</v>
      </c>
      <c r="B37" s="13" t="s">
        <v>907</v>
      </c>
      <c r="C37" s="8" t="s">
        <v>976</v>
      </c>
      <c r="D37" s="8" t="s">
        <v>977</v>
      </c>
    </row>
    <row r="38" customFormat="false" ht="15" hidden="false" customHeight="true" outlineLevel="0" collapsed="false">
      <c r="A38" s="16" t="n">
        <v>8</v>
      </c>
      <c r="B38" s="10" t="s">
        <v>814</v>
      </c>
      <c r="C38" s="12" t="s">
        <v>953</v>
      </c>
      <c r="D38" s="12" t="s">
        <v>978</v>
      </c>
    </row>
    <row r="39" customFormat="false" ht="15" hidden="false" customHeight="true" outlineLevel="0" collapsed="false">
      <c r="A39" s="5" t="n">
        <v>8</v>
      </c>
      <c r="B39" s="13" t="s">
        <v>659</v>
      </c>
      <c r="C39" s="8" t="s">
        <v>979</v>
      </c>
      <c r="D39" s="8" t="s">
        <v>875</v>
      </c>
    </row>
    <row r="40" customFormat="false" ht="15" hidden="false" customHeight="true" outlineLevel="0" collapsed="false">
      <c r="A40" s="16" t="n">
        <v>9</v>
      </c>
      <c r="B40" s="10" t="s">
        <v>907</v>
      </c>
      <c r="C40" s="12" t="s">
        <v>980</v>
      </c>
      <c r="D40" s="12" t="s">
        <v>981</v>
      </c>
    </row>
    <row r="41" customFormat="false" ht="15" hidden="false" customHeight="true" outlineLevel="0" collapsed="false">
      <c r="A41" s="5" t="n">
        <v>9</v>
      </c>
      <c r="B41" s="13" t="s">
        <v>659</v>
      </c>
      <c r="C41" s="8" t="s">
        <v>982</v>
      </c>
      <c r="D41" s="8" t="s">
        <v>983</v>
      </c>
    </row>
    <row r="42" customFormat="false" ht="15" hidden="false" customHeight="true" outlineLevel="0" collapsed="false">
      <c r="A42" s="16" t="n">
        <v>9</v>
      </c>
      <c r="B42" s="10" t="s">
        <v>814</v>
      </c>
      <c r="C42" s="12" t="s">
        <v>984</v>
      </c>
      <c r="D42" s="12" t="s">
        <v>985</v>
      </c>
    </row>
    <row r="43" customFormat="false" ht="15" hidden="false" customHeight="true" outlineLevel="0" collapsed="false">
      <c r="A43" s="5" t="n">
        <v>10</v>
      </c>
      <c r="B43" s="13" t="s">
        <v>907</v>
      </c>
      <c r="C43" s="8" t="s">
        <v>986</v>
      </c>
      <c r="D43" s="8" t="s">
        <v>987</v>
      </c>
    </row>
    <row r="44" customFormat="false" ht="15" hidden="false" customHeight="true" outlineLevel="0" collapsed="false">
      <c r="A44" s="16" t="n">
        <v>10</v>
      </c>
      <c r="B44" s="10" t="s">
        <v>907</v>
      </c>
      <c r="C44" s="12" t="s">
        <v>988</v>
      </c>
      <c r="D44" s="12" t="s">
        <v>989</v>
      </c>
    </row>
    <row r="45" customFormat="false" ht="15" hidden="false" customHeight="true" outlineLevel="0" collapsed="false">
      <c r="A45" s="5" t="n">
        <v>10</v>
      </c>
      <c r="B45" s="13" t="s">
        <v>957</v>
      </c>
      <c r="C45" s="8" t="s">
        <v>990</v>
      </c>
      <c r="D45" s="8" t="s">
        <v>991</v>
      </c>
    </row>
    <row r="46" customFormat="false" ht="15" hidden="false" customHeight="true" outlineLevel="0" collapsed="false">
      <c r="A46" s="16" t="n">
        <v>10</v>
      </c>
      <c r="B46" s="10" t="s">
        <v>659</v>
      </c>
      <c r="C46" s="12" t="s">
        <v>992</v>
      </c>
      <c r="D46" s="12" t="s">
        <v>993</v>
      </c>
    </row>
    <row r="47" customFormat="false" ht="15" hidden="false" customHeight="true" outlineLevel="0" collapsed="false">
      <c r="A47" s="5" t="n">
        <v>11</v>
      </c>
      <c r="B47" s="13" t="s">
        <v>907</v>
      </c>
      <c r="C47" s="8" t="s">
        <v>994</v>
      </c>
      <c r="D47" s="8" t="s">
        <v>995</v>
      </c>
    </row>
    <row r="48" customFormat="false" ht="15" hidden="false" customHeight="true" outlineLevel="0" collapsed="false">
      <c r="A48" s="16" t="n">
        <v>11</v>
      </c>
      <c r="B48" s="10" t="s">
        <v>907</v>
      </c>
      <c r="C48" s="12" t="s">
        <v>996</v>
      </c>
      <c r="D48" s="12" t="s">
        <v>997</v>
      </c>
    </row>
    <row r="49" customFormat="false" ht="15" hidden="false" customHeight="true" outlineLevel="0" collapsed="false">
      <c r="A49" s="5" t="n">
        <v>11</v>
      </c>
      <c r="B49" s="13" t="s">
        <v>659</v>
      </c>
      <c r="C49" s="8" t="s">
        <v>998</v>
      </c>
      <c r="D49" s="8" t="s">
        <v>999</v>
      </c>
    </row>
    <row r="50" customFormat="false" ht="15" hidden="false" customHeight="true" outlineLevel="0" collapsed="false">
      <c r="A50" s="16" t="n">
        <v>11</v>
      </c>
      <c r="B50" s="10" t="s">
        <v>814</v>
      </c>
      <c r="C50" s="12" t="s">
        <v>984</v>
      </c>
      <c r="D50" s="12" t="s">
        <v>1000</v>
      </c>
    </row>
    <row r="51" customFormat="false" ht="15" hidden="false" customHeight="true" outlineLevel="0" collapsed="false">
      <c r="A51" s="5" t="n">
        <v>12</v>
      </c>
      <c r="B51" s="13" t="s">
        <v>907</v>
      </c>
      <c r="C51" s="8" t="s">
        <v>1001</v>
      </c>
      <c r="D51" s="8" t="s">
        <v>1002</v>
      </c>
    </row>
    <row r="52" customFormat="false" ht="15" hidden="false" customHeight="true" outlineLevel="0" collapsed="false">
      <c r="A52" s="16" t="n">
        <v>12</v>
      </c>
      <c r="B52" s="10" t="s">
        <v>892</v>
      </c>
      <c r="C52" s="12" t="s">
        <v>1003</v>
      </c>
      <c r="D52" s="12" t="s">
        <v>1004</v>
      </c>
    </row>
    <row r="53" customFormat="false" ht="15" hidden="false" customHeight="true" outlineLevel="0" collapsed="false">
      <c r="A53" s="5" t="n">
        <v>12</v>
      </c>
      <c r="B53" s="13" t="s">
        <v>659</v>
      </c>
      <c r="C53" s="8" t="s">
        <v>1005</v>
      </c>
      <c r="D53" s="8" t="s">
        <v>1006</v>
      </c>
    </row>
    <row r="54" customFormat="false" ht="15" hidden="false" customHeight="true" outlineLevel="0" collapsed="false">
      <c r="A54" s="16" t="n">
        <v>12</v>
      </c>
      <c r="B54" s="10" t="s">
        <v>814</v>
      </c>
      <c r="C54" s="12" t="s">
        <v>964</v>
      </c>
      <c r="D54" s="12" t="s">
        <v>1007</v>
      </c>
    </row>
    <row r="55" customFormat="false" ht="15" hidden="false" customHeight="true" outlineLevel="0" collapsed="false">
      <c r="A55" s="5" t="n">
        <v>13</v>
      </c>
      <c r="B55" s="13" t="s">
        <v>1008</v>
      </c>
      <c r="C55" s="8" t="s">
        <v>1009</v>
      </c>
      <c r="D55" s="8" t="s">
        <v>1010</v>
      </c>
    </row>
    <row r="56" customFormat="false" ht="15" hidden="false" customHeight="true" outlineLevel="0" collapsed="false">
      <c r="A56" s="16" t="n">
        <v>13</v>
      </c>
      <c r="B56" s="10" t="s">
        <v>799</v>
      </c>
      <c r="C56" s="12" t="s">
        <v>1011</v>
      </c>
      <c r="D56" s="12" t="s">
        <v>1012</v>
      </c>
    </row>
    <row r="57" customFormat="false" ht="15" hidden="false" customHeight="true" outlineLevel="0" collapsed="false">
      <c r="A57" s="5" t="n">
        <v>13</v>
      </c>
      <c r="B57" s="13" t="s">
        <v>1013</v>
      </c>
      <c r="C57" s="8" t="s">
        <v>1014</v>
      </c>
      <c r="D57" s="8" t="s">
        <v>1015</v>
      </c>
    </row>
    <row r="58" customFormat="false" ht="15" hidden="false" customHeight="true" outlineLevel="0" collapsed="false">
      <c r="A58" s="16" t="n">
        <v>13</v>
      </c>
      <c r="B58" s="10" t="s">
        <v>814</v>
      </c>
      <c r="C58" s="12" t="s">
        <v>964</v>
      </c>
      <c r="D58" s="12" t="s">
        <v>1016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8"/>
    <col collapsed="false" customWidth="true" hidden="false" outlineLevel="0" max="3" min="3" style="1" width="60"/>
    <col collapsed="false" customWidth="true" hidden="false" outlineLevel="0" max="5" min="4" style="1" width="8"/>
    <col collapsed="false" customWidth="true" hidden="false" outlineLevel="0" max="6" min="6" style="1" width="14"/>
    <col collapsed="false" customWidth="true" hidden="false" outlineLevel="0" max="7" min="7" style="1" width="70"/>
    <col collapsed="false" customWidth="true" hidden="false" outlineLevel="0" max="8" min="8" style="1" width="12"/>
  </cols>
  <sheetData>
    <row r="1" customFormat="false" ht="21.75" hidden="false" customHeight="true" outlineLevel="0" collapsed="false">
      <c r="A1" s="9" t="s">
        <v>1017</v>
      </c>
      <c r="B1" s="9"/>
      <c r="C1" s="9"/>
      <c r="D1" s="9"/>
      <c r="E1" s="9"/>
      <c r="F1" s="9"/>
      <c r="G1" s="9"/>
      <c r="H1" s="9"/>
    </row>
    <row r="3" customFormat="false" ht="21.75" hidden="false" customHeight="true" outlineLevel="0" collapsed="false">
      <c r="A3" s="6" t="s">
        <v>1018</v>
      </c>
      <c r="B3" s="6" t="s">
        <v>14</v>
      </c>
      <c r="C3" s="6" t="s">
        <v>1019</v>
      </c>
      <c r="D3" s="6" t="s">
        <v>1020</v>
      </c>
      <c r="E3" s="6" t="s">
        <v>1021</v>
      </c>
      <c r="F3" s="6" t="s">
        <v>120</v>
      </c>
      <c r="G3" s="6" t="s">
        <v>1022</v>
      </c>
      <c r="H3" s="6" t="s">
        <v>121</v>
      </c>
    </row>
    <row r="4" customFormat="false" ht="15" hidden="false" customHeight="true" outlineLevel="0" collapsed="false">
      <c r="A4" s="10" t="s">
        <v>1023</v>
      </c>
      <c r="B4" s="12" t="s">
        <v>1024</v>
      </c>
      <c r="C4" s="12" t="s">
        <v>1025</v>
      </c>
      <c r="D4" s="10" t="s">
        <v>1026</v>
      </c>
      <c r="E4" s="10" t="s">
        <v>1026</v>
      </c>
      <c r="F4" s="12" t="s">
        <v>1027</v>
      </c>
      <c r="G4" s="12" t="s">
        <v>1028</v>
      </c>
      <c r="H4" s="10" t="s">
        <v>1029</v>
      </c>
    </row>
    <row r="5" customFormat="false" ht="15" hidden="false" customHeight="true" outlineLevel="0" collapsed="false">
      <c r="A5" s="13" t="s">
        <v>1030</v>
      </c>
      <c r="B5" s="8" t="s">
        <v>1024</v>
      </c>
      <c r="C5" s="8" t="s">
        <v>1031</v>
      </c>
      <c r="D5" s="36" t="s">
        <v>1032</v>
      </c>
      <c r="E5" s="36" t="s">
        <v>1032</v>
      </c>
      <c r="F5" s="8" t="s">
        <v>1027</v>
      </c>
      <c r="G5" s="8" t="s">
        <v>1033</v>
      </c>
      <c r="H5" s="13" t="s">
        <v>1029</v>
      </c>
    </row>
    <row r="6" customFormat="false" ht="15" hidden="false" customHeight="true" outlineLevel="0" collapsed="false">
      <c r="A6" s="10" t="s">
        <v>1034</v>
      </c>
      <c r="B6" s="12" t="s">
        <v>1024</v>
      </c>
      <c r="C6" s="12" t="s">
        <v>1035</v>
      </c>
      <c r="D6" s="10" t="s">
        <v>1032</v>
      </c>
      <c r="E6" s="10" t="s">
        <v>1026</v>
      </c>
      <c r="F6" s="12" t="s">
        <v>1027</v>
      </c>
      <c r="G6" s="12" t="s">
        <v>1036</v>
      </c>
      <c r="H6" s="10" t="s">
        <v>1029</v>
      </c>
    </row>
    <row r="7" customFormat="false" ht="15" hidden="false" customHeight="true" outlineLevel="0" collapsed="false">
      <c r="A7" s="13" t="s">
        <v>1037</v>
      </c>
      <c r="B7" s="8" t="s">
        <v>1024</v>
      </c>
      <c r="C7" s="8" t="s">
        <v>1038</v>
      </c>
      <c r="D7" s="36" t="s">
        <v>1032</v>
      </c>
      <c r="E7" s="36" t="s">
        <v>1032</v>
      </c>
      <c r="F7" s="8" t="s">
        <v>1027</v>
      </c>
      <c r="G7" s="8" t="s">
        <v>1039</v>
      </c>
      <c r="H7" s="13" t="s">
        <v>1029</v>
      </c>
    </row>
    <row r="8" customFormat="false" ht="15" hidden="false" customHeight="true" outlineLevel="0" collapsed="false">
      <c r="A8" s="10" t="s">
        <v>1040</v>
      </c>
      <c r="B8" s="12" t="s">
        <v>1024</v>
      </c>
      <c r="C8" s="12" t="s">
        <v>1041</v>
      </c>
      <c r="D8" s="10" t="s">
        <v>1032</v>
      </c>
      <c r="E8" s="10" t="s">
        <v>1026</v>
      </c>
      <c r="F8" s="12" t="s">
        <v>1027</v>
      </c>
      <c r="G8" s="12" t="s">
        <v>1042</v>
      </c>
      <c r="H8" s="10" t="s">
        <v>1029</v>
      </c>
    </row>
    <row r="9" customFormat="false" ht="15" hidden="false" customHeight="true" outlineLevel="0" collapsed="false">
      <c r="A9" s="13" t="s">
        <v>1043</v>
      </c>
      <c r="B9" s="8" t="s">
        <v>1024</v>
      </c>
      <c r="C9" s="8" t="s">
        <v>1044</v>
      </c>
      <c r="D9" s="37" t="s">
        <v>1026</v>
      </c>
      <c r="E9" s="36" t="s">
        <v>1032</v>
      </c>
      <c r="F9" s="8" t="s">
        <v>1027</v>
      </c>
      <c r="G9" s="8" t="s">
        <v>1045</v>
      </c>
      <c r="H9" s="13" t="s">
        <v>1029</v>
      </c>
    </row>
    <row r="10" customFormat="false" ht="15" hidden="false" customHeight="true" outlineLevel="0" collapsed="false">
      <c r="A10" s="10" t="s">
        <v>1046</v>
      </c>
      <c r="B10" s="12" t="s">
        <v>1024</v>
      </c>
      <c r="C10" s="12" t="s">
        <v>1047</v>
      </c>
      <c r="D10" s="10" t="s">
        <v>1032</v>
      </c>
      <c r="E10" s="10" t="s">
        <v>1032</v>
      </c>
      <c r="F10" s="12" t="s">
        <v>1048</v>
      </c>
      <c r="G10" s="12" t="s">
        <v>1049</v>
      </c>
      <c r="H10" s="10" t="s">
        <v>1029</v>
      </c>
    </row>
    <row r="11" customFormat="false" ht="15" hidden="false" customHeight="true" outlineLevel="0" collapsed="false">
      <c r="A11" s="13" t="s">
        <v>1050</v>
      </c>
      <c r="B11" s="8" t="s">
        <v>1024</v>
      </c>
      <c r="C11" s="8" t="s">
        <v>1051</v>
      </c>
      <c r="D11" s="38" t="s">
        <v>1052</v>
      </c>
      <c r="E11" s="37" t="s">
        <v>1026</v>
      </c>
      <c r="F11" s="8" t="s">
        <v>1027</v>
      </c>
      <c r="G11" s="8" t="s">
        <v>1053</v>
      </c>
      <c r="H11" s="13" t="s">
        <v>1029</v>
      </c>
    </row>
    <row r="12" customFormat="false" ht="15" hidden="false" customHeight="true" outlineLevel="0" collapsed="false">
      <c r="A12" s="10" t="s">
        <v>1054</v>
      </c>
      <c r="B12" s="12" t="s">
        <v>1024</v>
      </c>
      <c r="C12" s="12" t="s">
        <v>1055</v>
      </c>
      <c r="D12" s="10" t="s">
        <v>1032</v>
      </c>
      <c r="E12" s="10" t="s">
        <v>1026</v>
      </c>
      <c r="F12" s="12" t="s">
        <v>1048</v>
      </c>
      <c r="G12" s="12" t="s">
        <v>1056</v>
      </c>
      <c r="H12" s="10" t="s">
        <v>1029</v>
      </c>
    </row>
    <row r="13" customFormat="false" ht="15" hidden="false" customHeight="true" outlineLevel="0" collapsed="false">
      <c r="A13" s="13" t="s">
        <v>1057</v>
      </c>
      <c r="B13" s="8" t="s">
        <v>1024</v>
      </c>
      <c r="C13" s="8" t="s">
        <v>1058</v>
      </c>
      <c r="D13" s="36" t="s">
        <v>1032</v>
      </c>
      <c r="E13" s="36" t="s">
        <v>1032</v>
      </c>
      <c r="F13" s="8" t="s">
        <v>1027</v>
      </c>
      <c r="G13" s="8" t="s">
        <v>1059</v>
      </c>
      <c r="H13" s="13" t="s">
        <v>1029</v>
      </c>
    </row>
    <row r="14" customFormat="false" ht="15" hidden="false" customHeight="true" outlineLevel="0" collapsed="false">
      <c r="A14" s="10" t="s">
        <v>1060</v>
      </c>
      <c r="B14" s="12" t="s">
        <v>1024</v>
      </c>
      <c r="C14" s="12" t="s">
        <v>1061</v>
      </c>
      <c r="D14" s="10" t="s">
        <v>1026</v>
      </c>
      <c r="E14" s="10" t="s">
        <v>1032</v>
      </c>
      <c r="F14" s="12" t="s">
        <v>1027</v>
      </c>
      <c r="G14" s="12" t="s">
        <v>1062</v>
      </c>
      <c r="H14" s="10" t="s">
        <v>1029</v>
      </c>
    </row>
    <row r="15" customFormat="false" ht="15" hidden="false" customHeight="true" outlineLevel="0" collapsed="false">
      <c r="A15" s="13" t="s">
        <v>1063</v>
      </c>
      <c r="B15" s="8" t="s">
        <v>1024</v>
      </c>
      <c r="C15" s="8" t="s">
        <v>1064</v>
      </c>
      <c r="D15" s="36" t="s">
        <v>1032</v>
      </c>
      <c r="E15" s="36" t="s">
        <v>1032</v>
      </c>
      <c r="F15" s="8" t="s">
        <v>1048</v>
      </c>
      <c r="G15" s="8" t="s">
        <v>1065</v>
      </c>
      <c r="H15" s="13" t="s">
        <v>1029</v>
      </c>
    </row>
    <row r="16" customFormat="false" ht="15" hidden="false" customHeight="true" outlineLevel="0" collapsed="false">
      <c r="A16" s="10" t="s">
        <v>1066</v>
      </c>
      <c r="B16" s="12" t="s">
        <v>242</v>
      </c>
      <c r="C16" s="12" t="s">
        <v>1067</v>
      </c>
      <c r="D16" s="10" t="s">
        <v>1032</v>
      </c>
      <c r="E16" s="10" t="s">
        <v>1026</v>
      </c>
      <c r="F16" s="12" t="s">
        <v>1048</v>
      </c>
      <c r="G16" s="12" t="s">
        <v>1068</v>
      </c>
      <c r="H16" s="10" t="s">
        <v>811</v>
      </c>
    </row>
    <row r="17" customFormat="false" ht="15" hidden="false" customHeight="true" outlineLevel="0" collapsed="false">
      <c r="A17" s="13" t="s">
        <v>1069</v>
      </c>
      <c r="B17" s="8" t="s">
        <v>242</v>
      </c>
      <c r="C17" s="8" t="s">
        <v>1070</v>
      </c>
      <c r="D17" s="38" t="s">
        <v>1052</v>
      </c>
      <c r="E17" s="36" t="s">
        <v>1032</v>
      </c>
      <c r="F17" s="8" t="s">
        <v>1048</v>
      </c>
      <c r="G17" s="8" t="s">
        <v>1071</v>
      </c>
      <c r="H17" s="13" t="s">
        <v>811</v>
      </c>
    </row>
    <row r="18" customFormat="false" ht="15" hidden="false" customHeight="true" outlineLevel="0" collapsed="false">
      <c r="A18" s="10" t="s">
        <v>1072</v>
      </c>
      <c r="B18" s="12" t="s">
        <v>1073</v>
      </c>
      <c r="C18" s="12" t="s">
        <v>1074</v>
      </c>
      <c r="D18" s="10" t="s">
        <v>1026</v>
      </c>
      <c r="E18" s="10" t="s">
        <v>1032</v>
      </c>
      <c r="F18" s="12" t="s">
        <v>1048</v>
      </c>
      <c r="G18" s="12" t="s">
        <v>1075</v>
      </c>
      <c r="H18" s="10" t="s">
        <v>811</v>
      </c>
    </row>
    <row r="19" customFormat="false" ht="15" hidden="false" customHeight="true" outlineLevel="0" collapsed="false">
      <c r="A19" s="13" t="s">
        <v>1076</v>
      </c>
      <c r="B19" s="8" t="s">
        <v>1073</v>
      </c>
      <c r="C19" s="8" t="s">
        <v>1077</v>
      </c>
      <c r="D19" s="36" t="s">
        <v>1032</v>
      </c>
      <c r="E19" s="38" t="s">
        <v>1052</v>
      </c>
      <c r="F19" s="8" t="s">
        <v>1048</v>
      </c>
      <c r="G19" s="8" t="s">
        <v>1078</v>
      </c>
      <c r="H19" s="13" t="s">
        <v>811</v>
      </c>
    </row>
    <row r="20" customFormat="false" ht="15" hidden="false" customHeight="true" outlineLevel="0" collapsed="false">
      <c r="A20" s="10" t="s">
        <v>1079</v>
      </c>
      <c r="B20" s="12" t="s">
        <v>1080</v>
      </c>
      <c r="C20" s="12" t="s">
        <v>1081</v>
      </c>
      <c r="D20" s="10" t="s">
        <v>1032</v>
      </c>
      <c r="E20" s="10" t="s">
        <v>1032</v>
      </c>
      <c r="F20" s="12" t="s">
        <v>1048</v>
      </c>
      <c r="G20" s="12" t="s">
        <v>1082</v>
      </c>
      <c r="H20" s="10" t="s">
        <v>811</v>
      </c>
    </row>
    <row r="21" customFormat="false" ht="15" hidden="false" customHeight="true" outlineLevel="0" collapsed="false">
      <c r="A21" s="13" t="s">
        <v>1083</v>
      </c>
      <c r="B21" s="8" t="s">
        <v>1080</v>
      </c>
      <c r="C21" s="8" t="s">
        <v>1084</v>
      </c>
      <c r="D21" s="36" t="s">
        <v>1032</v>
      </c>
      <c r="E21" s="36" t="s">
        <v>1032</v>
      </c>
      <c r="F21" s="8" t="s">
        <v>1048</v>
      </c>
      <c r="G21" s="8" t="s">
        <v>1085</v>
      </c>
      <c r="H21" s="13" t="s">
        <v>811</v>
      </c>
    </row>
    <row r="22" customFormat="false" ht="15" hidden="false" customHeight="true" outlineLevel="0" collapsed="false">
      <c r="A22" s="10" t="s">
        <v>1086</v>
      </c>
      <c r="B22" s="12" t="s">
        <v>1080</v>
      </c>
      <c r="C22" s="12" t="s">
        <v>1087</v>
      </c>
      <c r="D22" s="10" t="s">
        <v>1026</v>
      </c>
      <c r="E22" s="10" t="s">
        <v>1026</v>
      </c>
      <c r="F22" s="12" t="s">
        <v>1048</v>
      </c>
      <c r="G22" s="12" t="s">
        <v>1088</v>
      </c>
      <c r="H22" s="10" t="s">
        <v>811</v>
      </c>
    </row>
    <row r="23" customFormat="false" ht="15" hidden="false" customHeight="true" outlineLevel="0" collapsed="false">
      <c r="A23" s="13" t="s">
        <v>1089</v>
      </c>
      <c r="B23" s="8" t="s">
        <v>1090</v>
      </c>
      <c r="C23" s="8" t="s">
        <v>1091</v>
      </c>
      <c r="D23" s="37" t="s">
        <v>1026</v>
      </c>
      <c r="E23" s="36" t="s">
        <v>1032</v>
      </c>
      <c r="F23" s="8" t="s">
        <v>1027</v>
      </c>
      <c r="G23" s="8" t="s">
        <v>1092</v>
      </c>
      <c r="H23" s="13" t="s">
        <v>811</v>
      </c>
    </row>
    <row r="24" customFormat="false" ht="15" hidden="false" customHeight="true" outlineLevel="0" collapsed="false">
      <c r="A24" s="10" t="s">
        <v>1093</v>
      </c>
      <c r="B24" s="12" t="s">
        <v>1090</v>
      </c>
      <c r="C24" s="12" t="s">
        <v>1094</v>
      </c>
      <c r="D24" s="10" t="s">
        <v>1032</v>
      </c>
      <c r="E24" s="10" t="s">
        <v>1052</v>
      </c>
      <c r="F24" s="12" t="s">
        <v>1048</v>
      </c>
      <c r="G24" s="12" t="s">
        <v>1095</v>
      </c>
      <c r="H24" s="10" t="s">
        <v>811</v>
      </c>
    </row>
    <row r="25" customFormat="false" ht="15" hidden="false" customHeight="true" outlineLevel="0" collapsed="false">
      <c r="A25" s="13" t="s">
        <v>1096</v>
      </c>
      <c r="B25" s="8" t="s">
        <v>1097</v>
      </c>
      <c r="C25" s="8" t="s">
        <v>1098</v>
      </c>
      <c r="D25" s="37" t="s">
        <v>1026</v>
      </c>
      <c r="E25" s="37" t="s">
        <v>1026</v>
      </c>
      <c r="F25" s="8" t="s">
        <v>1027</v>
      </c>
      <c r="G25" s="8" t="s">
        <v>1099</v>
      </c>
      <c r="H25" s="13" t="s">
        <v>811</v>
      </c>
    </row>
    <row r="26" customFormat="false" ht="15" hidden="false" customHeight="true" outlineLevel="0" collapsed="false">
      <c r="A26" s="10" t="s">
        <v>1100</v>
      </c>
      <c r="B26" s="12" t="s">
        <v>1097</v>
      </c>
      <c r="C26" s="12" t="s">
        <v>1101</v>
      </c>
      <c r="D26" s="10" t="s">
        <v>1032</v>
      </c>
      <c r="E26" s="10" t="s">
        <v>1032</v>
      </c>
      <c r="F26" s="12" t="s">
        <v>1048</v>
      </c>
      <c r="G26" s="12" t="s">
        <v>1102</v>
      </c>
      <c r="H26" s="10" t="s">
        <v>811</v>
      </c>
    </row>
    <row r="27" customFormat="false" ht="15" hidden="false" customHeight="true" outlineLevel="0" collapsed="false">
      <c r="A27" s="13" t="s">
        <v>1103</v>
      </c>
      <c r="B27" s="8" t="s">
        <v>1104</v>
      </c>
      <c r="C27" s="8" t="s">
        <v>1105</v>
      </c>
      <c r="D27" s="36" t="s">
        <v>1032</v>
      </c>
      <c r="E27" s="36" t="s">
        <v>1032</v>
      </c>
      <c r="F27" s="8" t="s">
        <v>1027</v>
      </c>
      <c r="G27" s="8" t="s">
        <v>1106</v>
      </c>
      <c r="H27" s="13" t="s">
        <v>811</v>
      </c>
    </row>
    <row r="28" customFormat="false" ht="15" hidden="false" customHeight="true" outlineLevel="0" collapsed="false">
      <c r="A28" s="10" t="s">
        <v>1107</v>
      </c>
      <c r="B28" s="12" t="s">
        <v>1104</v>
      </c>
      <c r="C28" s="12" t="s">
        <v>1108</v>
      </c>
      <c r="D28" s="10" t="s">
        <v>1032</v>
      </c>
      <c r="E28" s="10" t="s">
        <v>1026</v>
      </c>
      <c r="F28" s="12" t="s">
        <v>1048</v>
      </c>
      <c r="G28" s="12" t="s">
        <v>1109</v>
      </c>
      <c r="H28" s="10" t="s">
        <v>811</v>
      </c>
    </row>
    <row r="29" customFormat="false" ht="15" hidden="false" customHeight="true" outlineLevel="0" collapsed="false">
      <c r="A29" s="13" t="s">
        <v>1110</v>
      </c>
      <c r="B29" s="8" t="s">
        <v>1104</v>
      </c>
      <c r="C29" s="8" t="s">
        <v>1111</v>
      </c>
      <c r="D29" s="36" t="s">
        <v>1032</v>
      </c>
      <c r="E29" s="36" t="s">
        <v>1032</v>
      </c>
      <c r="F29" s="8" t="s">
        <v>1048</v>
      </c>
      <c r="G29" s="8" t="s">
        <v>1112</v>
      </c>
      <c r="H29" s="13" t="s">
        <v>811</v>
      </c>
    </row>
    <row r="30" customFormat="false" ht="15" hidden="false" customHeight="true" outlineLevel="0" collapsed="false">
      <c r="A30" s="10" t="s">
        <v>1113</v>
      </c>
      <c r="B30" s="12" t="s">
        <v>259</v>
      </c>
      <c r="C30" s="12" t="s">
        <v>1114</v>
      </c>
      <c r="D30" s="10" t="s">
        <v>1032</v>
      </c>
      <c r="E30" s="10" t="s">
        <v>1032</v>
      </c>
      <c r="F30" s="12" t="s">
        <v>1027</v>
      </c>
      <c r="G30" s="12" t="s">
        <v>1115</v>
      </c>
      <c r="H30" s="10" t="s">
        <v>811</v>
      </c>
    </row>
    <row r="31" customFormat="false" ht="15" hidden="false" customHeight="true" outlineLevel="0" collapsed="false">
      <c r="A31" s="13" t="s">
        <v>1116</v>
      </c>
      <c r="B31" s="8" t="s">
        <v>259</v>
      </c>
      <c r="C31" s="8" t="s">
        <v>1117</v>
      </c>
      <c r="D31" s="36" t="s">
        <v>1032</v>
      </c>
      <c r="E31" s="37" t="s">
        <v>1026</v>
      </c>
      <c r="F31" s="8" t="s">
        <v>1048</v>
      </c>
      <c r="G31" s="8" t="s">
        <v>1118</v>
      </c>
      <c r="H31" s="13" t="s">
        <v>811</v>
      </c>
    </row>
    <row r="32" customFormat="false" ht="15" hidden="false" customHeight="true" outlineLevel="0" collapsed="false">
      <c r="A32" s="10" t="s">
        <v>1119</v>
      </c>
      <c r="B32" s="12" t="s">
        <v>204</v>
      </c>
      <c r="C32" s="12" t="s">
        <v>1120</v>
      </c>
      <c r="D32" s="10" t="s">
        <v>1026</v>
      </c>
      <c r="E32" s="10" t="s">
        <v>1032</v>
      </c>
      <c r="F32" s="12" t="s">
        <v>1048</v>
      </c>
      <c r="G32" s="12" t="s">
        <v>1121</v>
      </c>
      <c r="H32" s="10" t="s">
        <v>811</v>
      </c>
    </row>
    <row r="33" customFormat="false" ht="15" hidden="false" customHeight="true" outlineLevel="0" collapsed="false">
      <c r="A33" s="13" t="s">
        <v>1122</v>
      </c>
      <c r="B33" s="8" t="s">
        <v>204</v>
      </c>
      <c r="C33" s="8" t="s">
        <v>1123</v>
      </c>
      <c r="D33" s="36" t="s">
        <v>1032</v>
      </c>
      <c r="E33" s="37" t="s">
        <v>1026</v>
      </c>
      <c r="F33" s="8" t="s">
        <v>1048</v>
      </c>
      <c r="G33" s="8" t="s">
        <v>1124</v>
      </c>
      <c r="H33" s="13" t="s">
        <v>811</v>
      </c>
    </row>
    <row r="34" customFormat="false" ht="15" hidden="false" customHeight="true" outlineLevel="0" collapsed="false">
      <c r="A34" s="10" t="s">
        <v>1125</v>
      </c>
      <c r="B34" s="12" t="s">
        <v>1126</v>
      </c>
      <c r="C34" s="12" t="s">
        <v>1127</v>
      </c>
      <c r="D34" s="10" t="s">
        <v>1032</v>
      </c>
      <c r="E34" s="10" t="s">
        <v>1032</v>
      </c>
      <c r="F34" s="12" t="s">
        <v>1027</v>
      </c>
      <c r="G34" s="12" t="s">
        <v>1128</v>
      </c>
      <c r="H34" s="10" t="s">
        <v>811</v>
      </c>
    </row>
    <row r="35" customFormat="false" ht="15" hidden="false" customHeight="true" outlineLevel="0" collapsed="false">
      <c r="A35" s="13" t="s">
        <v>1129</v>
      </c>
      <c r="B35" s="8" t="s">
        <v>1126</v>
      </c>
      <c r="C35" s="8" t="s">
        <v>1130</v>
      </c>
      <c r="D35" s="36" t="s">
        <v>1032</v>
      </c>
      <c r="E35" s="38" t="s">
        <v>1052</v>
      </c>
      <c r="F35" s="8" t="s">
        <v>1048</v>
      </c>
      <c r="G35" s="8" t="s">
        <v>1131</v>
      </c>
      <c r="H35" s="13" t="s">
        <v>811</v>
      </c>
    </row>
    <row r="36" customFormat="false" ht="15" hidden="false" customHeight="true" outlineLevel="0" collapsed="false">
      <c r="A36" s="10" t="s">
        <v>1132</v>
      </c>
      <c r="B36" s="12" t="s">
        <v>293</v>
      </c>
      <c r="C36" s="12" t="s">
        <v>1133</v>
      </c>
      <c r="D36" s="10" t="s">
        <v>1026</v>
      </c>
      <c r="E36" s="10" t="s">
        <v>1032</v>
      </c>
      <c r="F36" s="12" t="s">
        <v>1027</v>
      </c>
      <c r="G36" s="12" t="s">
        <v>1134</v>
      </c>
      <c r="H36" s="10" t="s">
        <v>811</v>
      </c>
    </row>
    <row r="37" customFormat="false" ht="15" hidden="false" customHeight="true" outlineLevel="0" collapsed="false">
      <c r="A37" s="13" t="s">
        <v>1135</v>
      </c>
      <c r="B37" s="8" t="s">
        <v>293</v>
      </c>
      <c r="C37" s="8" t="s">
        <v>1136</v>
      </c>
      <c r="D37" s="36" t="s">
        <v>1032</v>
      </c>
      <c r="E37" s="36" t="s">
        <v>1032</v>
      </c>
      <c r="F37" s="8" t="s">
        <v>1048</v>
      </c>
      <c r="G37" s="8" t="s">
        <v>1137</v>
      </c>
      <c r="H37" s="13" t="s">
        <v>811</v>
      </c>
    </row>
    <row r="38" customFormat="false" ht="15" hidden="false" customHeight="true" outlineLevel="0" collapsed="false">
      <c r="A38" s="10" t="s">
        <v>1138</v>
      </c>
      <c r="B38" s="12" t="s">
        <v>302</v>
      </c>
      <c r="C38" s="12" t="s">
        <v>1139</v>
      </c>
      <c r="D38" s="10" t="s">
        <v>1032</v>
      </c>
      <c r="E38" s="10" t="s">
        <v>1026</v>
      </c>
      <c r="F38" s="12" t="s">
        <v>1027</v>
      </c>
      <c r="G38" s="12" t="s">
        <v>1042</v>
      </c>
      <c r="H38" s="10" t="s">
        <v>811</v>
      </c>
    </row>
    <row r="39" customFormat="false" ht="15" hidden="false" customHeight="true" outlineLevel="0" collapsed="false">
      <c r="A39" s="13" t="s">
        <v>1140</v>
      </c>
      <c r="B39" s="8" t="s">
        <v>302</v>
      </c>
      <c r="C39" s="8" t="s">
        <v>1141</v>
      </c>
      <c r="D39" s="36" t="s">
        <v>1032</v>
      </c>
      <c r="E39" s="36" t="s">
        <v>1032</v>
      </c>
      <c r="F39" s="8" t="s">
        <v>1048</v>
      </c>
      <c r="G39" s="8" t="s">
        <v>1142</v>
      </c>
      <c r="H39" s="13" t="s">
        <v>811</v>
      </c>
    </row>
    <row r="40" customFormat="false" ht="15" hidden="false" customHeight="true" outlineLevel="0" collapsed="false">
      <c r="A40" s="10" t="s">
        <v>1143</v>
      </c>
      <c r="B40" s="12" t="s">
        <v>188</v>
      </c>
      <c r="C40" s="12" t="s">
        <v>1144</v>
      </c>
      <c r="D40" s="10" t="s">
        <v>1032</v>
      </c>
      <c r="E40" s="10" t="s">
        <v>1032</v>
      </c>
      <c r="F40" s="12" t="s">
        <v>1027</v>
      </c>
      <c r="G40" s="12" t="s">
        <v>1145</v>
      </c>
      <c r="H40" s="10" t="s">
        <v>811</v>
      </c>
    </row>
    <row r="41" customFormat="false" ht="15" hidden="false" customHeight="true" outlineLevel="0" collapsed="false">
      <c r="A41" s="13" t="s">
        <v>1146</v>
      </c>
      <c r="B41" s="8" t="s">
        <v>188</v>
      </c>
      <c r="C41" s="8" t="s">
        <v>1147</v>
      </c>
      <c r="D41" s="36" t="s">
        <v>1032</v>
      </c>
      <c r="E41" s="37" t="s">
        <v>1026</v>
      </c>
      <c r="F41" s="8" t="s">
        <v>1048</v>
      </c>
      <c r="G41" s="8" t="s">
        <v>1148</v>
      </c>
      <c r="H41" s="13" t="s">
        <v>811</v>
      </c>
    </row>
    <row r="42" customFormat="false" ht="15" hidden="false" customHeight="true" outlineLevel="0" collapsed="false">
      <c r="A42" s="10" t="s">
        <v>1149</v>
      </c>
      <c r="B42" s="12" t="s">
        <v>306</v>
      </c>
      <c r="C42" s="12" t="s">
        <v>1055</v>
      </c>
      <c r="D42" s="10" t="s">
        <v>1032</v>
      </c>
      <c r="E42" s="10" t="s">
        <v>1026</v>
      </c>
      <c r="F42" s="12" t="s">
        <v>1048</v>
      </c>
      <c r="G42" s="12" t="s">
        <v>1150</v>
      </c>
      <c r="H42" s="10" t="s">
        <v>811</v>
      </c>
    </row>
    <row r="43" customFormat="false" ht="15" hidden="false" customHeight="true" outlineLevel="0" collapsed="false">
      <c r="A43" s="13" t="s">
        <v>1151</v>
      </c>
      <c r="B43" s="8" t="s">
        <v>306</v>
      </c>
      <c r="C43" s="8" t="s">
        <v>1152</v>
      </c>
      <c r="D43" s="36" t="s">
        <v>1032</v>
      </c>
      <c r="E43" s="36" t="s">
        <v>1032</v>
      </c>
      <c r="F43" s="8" t="s">
        <v>1027</v>
      </c>
      <c r="G43" s="8" t="s">
        <v>1153</v>
      </c>
      <c r="H43" s="13" t="s">
        <v>811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8"/>
    <col collapsed="false" customWidth="true" hidden="false" outlineLevel="0" max="3" min="3" style="1" width="50"/>
    <col collapsed="false" customWidth="true" hidden="false" outlineLevel="0" max="4" min="4" style="1" width="48"/>
    <col collapsed="false" customWidth="true" hidden="false" outlineLevel="0" max="5" min="5" style="1" width="8"/>
    <col collapsed="false" customWidth="true" hidden="false" outlineLevel="0" max="7" min="6" style="1" width="14"/>
  </cols>
  <sheetData>
    <row r="1" customFormat="false" ht="21.75" hidden="false" customHeight="true" outlineLevel="0" collapsed="false">
      <c r="A1" s="9" t="s">
        <v>1154</v>
      </c>
      <c r="B1" s="9"/>
      <c r="C1" s="9"/>
      <c r="D1" s="9"/>
      <c r="E1" s="9"/>
      <c r="F1" s="9"/>
      <c r="G1" s="9"/>
    </row>
    <row r="3" customFormat="false" ht="21.75" hidden="false" customHeight="true" outlineLevel="0" collapsed="false">
      <c r="A3" s="6" t="s">
        <v>1155</v>
      </c>
      <c r="B3" s="6" t="s">
        <v>1156</v>
      </c>
      <c r="C3" s="6" t="s">
        <v>1157</v>
      </c>
      <c r="D3" s="6" t="s">
        <v>1158</v>
      </c>
      <c r="E3" s="6" t="s">
        <v>1159</v>
      </c>
      <c r="F3" s="6" t="s">
        <v>1160</v>
      </c>
      <c r="G3" s="6" t="s">
        <v>50</v>
      </c>
    </row>
    <row r="4" customFormat="false" ht="23.25" hidden="false" customHeight="true" outlineLevel="0" collapsed="false">
      <c r="A4" s="10" t="s">
        <v>1161</v>
      </c>
      <c r="B4" s="39" t="n">
        <v>1991</v>
      </c>
      <c r="C4" s="12" t="s">
        <v>1162</v>
      </c>
      <c r="D4" s="12" t="s">
        <v>1163</v>
      </c>
      <c r="E4" s="10" t="s">
        <v>1164</v>
      </c>
      <c r="F4" s="12" t="s">
        <v>54</v>
      </c>
      <c r="G4" s="12" t="s">
        <v>1165</v>
      </c>
    </row>
    <row r="5" customFormat="false" ht="15" hidden="false" customHeight="true" outlineLevel="0" collapsed="false">
      <c r="A5" s="13" t="s">
        <v>1166</v>
      </c>
      <c r="B5" s="40" t="n">
        <v>2021</v>
      </c>
      <c r="C5" s="8" t="s">
        <v>1167</v>
      </c>
      <c r="D5" s="8" t="s">
        <v>1168</v>
      </c>
      <c r="E5" s="13" t="s">
        <v>1164</v>
      </c>
      <c r="F5" s="8" t="s">
        <v>1169</v>
      </c>
      <c r="G5" s="8" t="s">
        <v>1170</v>
      </c>
    </row>
    <row r="6" customFormat="false" ht="15" hidden="false" customHeight="true" outlineLevel="0" collapsed="false">
      <c r="A6" s="10" t="s">
        <v>1171</v>
      </c>
      <c r="B6" s="39" t="n">
        <v>2014</v>
      </c>
      <c r="C6" s="12" t="s">
        <v>1172</v>
      </c>
      <c r="D6" s="12" t="s">
        <v>1173</v>
      </c>
      <c r="E6" s="10" t="s">
        <v>1174</v>
      </c>
      <c r="F6" s="12" t="s">
        <v>1175</v>
      </c>
      <c r="G6" s="12" t="s">
        <v>1170</v>
      </c>
    </row>
    <row r="7" customFormat="false" ht="15" hidden="false" customHeight="true" outlineLevel="0" collapsed="false">
      <c r="A7" s="13" t="s">
        <v>1176</v>
      </c>
      <c r="B7" s="40" t="n">
        <v>2007</v>
      </c>
      <c r="C7" s="8" t="s">
        <v>1177</v>
      </c>
      <c r="D7" s="8" t="s">
        <v>1178</v>
      </c>
      <c r="E7" s="13" t="s">
        <v>1179</v>
      </c>
      <c r="F7" s="8" t="s">
        <v>1180</v>
      </c>
      <c r="G7" s="8" t="s">
        <v>1170</v>
      </c>
    </row>
    <row r="8" customFormat="false" ht="15" hidden="false" customHeight="true" outlineLevel="0" collapsed="false">
      <c r="A8" s="10" t="s">
        <v>1181</v>
      </c>
      <c r="B8" s="39" t="n">
        <v>1977</v>
      </c>
      <c r="C8" s="12" t="s">
        <v>1182</v>
      </c>
      <c r="D8" s="12" t="s">
        <v>1183</v>
      </c>
      <c r="E8" s="10" t="s">
        <v>1179</v>
      </c>
      <c r="F8" s="12" t="s">
        <v>54</v>
      </c>
      <c r="G8" s="12" t="s">
        <v>1184</v>
      </c>
    </row>
    <row r="9" customFormat="false" ht="15" hidden="false" customHeight="true" outlineLevel="0" collapsed="false">
      <c r="A9" s="13" t="s">
        <v>1185</v>
      </c>
      <c r="B9" s="40" t="n">
        <v>2016</v>
      </c>
      <c r="C9" s="8" t="s">
        <v>1186</v>
      </c>
      <c r="D9" s="8" t="s">
        <v>1187</v>
      </c>
      <c r="E9" s="13" t="s">
        <v>1164</v>
      </c>
      <c r="F9" s="8" t="s">
        <v>1188</v>
      </c>
      <c r="G9" s="8" t="s">
        <v>1170</v>
      </c>
    </row>
    <row r="10" customFormat="false" ht="15" hidden="false" customHeight="true" outlineLevel="0" collapsed="false">
      <c r="A10" s="10" t="s">
        <v>1189</v>
      </c>
      <c r="B10" s="39" t="n">
        <v>2013</v>
      </c>
      <c r="C10" s="12" t="s">
        <v>1190</v>
      </c>
      <c r="D10" s="12" t="s">
        <v>1191</v>
      </c>
      <c r="E10" s="10" t="s">
        <v>1179</v>
      </c>
      <c r="F10" s="12" t="s">
        <v>54</v>
      </c>
      <c r="G10" s="12" t="s">
        <v>1192</v>
      </c>
    </row>
    <row r="11" customFormat="false" ht="15" hidden="false" customHeight="true" outlineLevel="0" collapsed="false">
      <c r="A11" s="13" t="s">
        <v>1193</v>
      </c>
      <c r="B11" s="40" t="n">
        <v>2016</v>
      </c>
      <c r="C11" s="8" t="s">
        <v>1194</v>
      </c>
      <c r="D11" s="8" t="s">
        <v>1195</v>
      </c>
      <c r="E11" s="13" t="s">
        <v>1174</v>
      </c>
      <c r="F11" s="8" t="s">
        <v>1196</v>
      </c>
      <c r="G11" s="8" t="s">
        <v>1170</v>
      </c>
    </row>
    <row r="12" customFormat="false" ht="15" hidden="false" customHeight="true" outlineLevel="0" collapsed="false">
      <c r="A12" s="10" t="s">
        <v>1197</v>
      </c>
      <c r="B12" s="39" t="n">
        <v>2008</v>
      </c>
      <c r="C12" s="12" t="s">
        <v>1198</v>
      </c>
      <c r="D12" s="12" t="s">
        <v>1199</v>
      </c>
      <c r="E12" s="10" t="s">
        <v>1164</v>
      </c>
      <c r="F12" s="12" t="s">
        <v>1200</v>
      </c>
      <c r="G12" s="12" t="s">
        <v>1170</v>
      </c>
    </row>
    <row r="13" customFormat="false" ht="15" hidden="false" customHeight="true" outlineLevel="0" collapsed="false">
      <c r="A13" s="13" t="s">
        <v>1201</v>
      </c>
      <c r="B13" s="40" t="n">
        <v>2017</v>
      </c>
      <c r="C13" s="8" t="s">
        <v>1202</v>
      </c>
      <c r="D13" s="8" t="s">
        <v>1203</v>
      </c>
      <c r="E13" s="13" t="s">
        <v>1164</v>
      </c>
      <c r="F13" s="8" t="s">
        <v>1204</v>
      </c>
      <c r="G13" s="8" t="s">
        <v>1170</v>
      </c>
    </row>
    <row r="14" customFormat="false" ht="23.25" hidden="false" customHeight="true" outlineLevel="0" collapsed="false">
      <c r="A14" s="10" t="s">
        <v>1205</v>
      </c>
      <c r="B14" s="39" t="n">
        <v>1997</v>
      </c>
      <c r="C14" s="12" t="s">
        <v>1206</v>
      </c>
      <c r="D14" s="12" t="s">
        <v>1207</v>
      </c>
      <c r="E14" s="10" t="s">
        <v>1164</v>
      </c>
      <c r="F14" s="12" t="s">
        <v>1208</v>
      </c>
      <c r="G14" s="12" t="s">
        <v>1170</v>
      </c>
    </row>
    <row r="15" customFormat="false" ht="15" hidden="false" customHeight="true" outlineLevel="0" collapsed="false">
      <c r="A15" s="13" t="s">
        <v>1209</v>
      </c>
      <c r="B15" s="40" t="n">
        <v>2013</v>
      </c>
      <c r="C15" s="8" t="s">
        <v>1210</v>
      </c>
      <c r="D15" s="8" t="s">
        <v>1211</v>
      </c>
      <c r="E15" s="13" t="s">
        <v>1164</v>
      </c>
      <c r="F15" s="8" t="s">
        <v>1212</v>
      </c>
      <c r="G15" s="8" t="s">
        <v>1170</v>
      </c>
    </row>
    <row r="16" customFormat="false" ht="15" hidden="false" customHeight="true" outlineLevel="0" collapsed="false">
      <c r="A16" s="10" t="s">
        <v>1213</v>
      </c>
      <c r="B16" s="39" t="n">
        <v>2002</v>
      </c>
      <c r="C16" s="12" t="s">
        <v>1214</v>
      </c>
      <c r="D16" s="12" t="s">
        <v>1215</v>
      </c>
      <c r="E16" s="10" t="s">
        <v>1174</v>
      </c>
      <c r="F16" s="12" t="s">
        <v>1216</v>
      </c>
      <c r="G16" s="12" t="s">
        <v>1170</v>
      </c>
    </row>
    <row r="17" customFormat="false" ht="15" hidden="false" customHeight="true" outlineLevel="0" collapsed="false">
      <c r="A17" s="13" t="s">
        <v>1217</v>
      </c>
      <c r="B17" s="40" t="n">
        <v>1990</v>
      </c>
      <c r="C17" s="8" t="s">
        <v>1218</v>
      </c>
      <c r="D17" s="8" t="s">
        <v>1219</v>
      </c>
      <c r="E17" s="13" t="s">
        <v>1164</v>
      </c>
      <c r="F17" s="8" t="s">
        <v>54</v>
      </c>
      <c r="G17" s="8" t="s">
        <v>1184</v>
      </c>
    </row>
    <row r="18" customFormat="false" ht="15" hidden="false" customHeight="true" outlineLevel="0" collapsed="false">
      <c r="A18" s="10" t="s">
        <v>1220</v>
      </c>
      <c r="B18" s="39" t="n">
        <v>2017</v>
      </c>
      <c r="C18" s="12" t="s">
        <v>1221</v>
      </c>
      <c r="D18" s="12" t="s">
        <v>1222</v>
      </c>
      <c r="E18" s="10" t="s">
        <v>1164</v>
      </c>
      <c r="F18" s="12" t="s">
        <v>1223</v>
      </c>
      <c r="G18" s="12" t="s">
        <v>1170</v>
      </c>
    </row>
    <row r="19" customFormat="false" ht="15" hidden="false" customHeight="true" outlineLevel="0" collapsed="false">
      <c r="A19" s="13" t="s">
        <v>1224</v>
      </c>
      <c r="B19" s="40" t="n">
        <v>2013</v>
      </c>
      <c r="C19" s="8" t="s">
        <v>1225</v>
      </c>
      <c r="D19" s="8" t="s">
        <v>1226</v>
      </c>
      <c r="E19" s="13" t="s">
        <v>1164</v>
      </c>
      <c r="F19" s="8" t="s">
        <v>1227</v>
      </c>
      <c r="G19" s="8" t="s">
        <v>1170</v>
      </c>
    </row>
    <row r="20" customFormat="false" ht="15" hidden="false" customHeight="true" outlineLevel="0" collapsed="false">
      <c r="A20" s="10" t="s">
        <v>1228</v>
      </c>
      <c r="B20" s="39" t="n">
        <v>2017</v>
      </c>
      <c r="C20" s="12" t="s">
        <v>1229</v>
      </c>
      <c r="D20" s="12" t="s">
        <v>1230</v>
      </c>
      <c r="E20" s="10" t="s">
        <v>1174</v>
      </c>
      <c r="F20" s="12" t="s">
        <v>1231</v>
      </c>
      <c r="G20" s="12" t="s">
        <v>1170</v>
      </c>
    </row>
    <row r="21" customFormat="false" ht="15" hidden="false" customHeight="true" outlineLevel="0" collapsed="false">
      <c r="A21" s="13" t="s">
        <v>1232</v>
      </c>
      <c r="B21" s="40" t="n">
        <v>2013</v>
      </c>
      <c r="C21" s="8" t="s">
        <v>1233</v>
      </c>
      <c r="D21" s="8" t="s">
        <v>1191</v>
      </c>
      <c r="E21" s="13" t="s">
        <v>1179</v>
      </c>
      <c r="F21" s="8" t="s">
        <v>54</v>
      </c>
      <c r="G21" s="8" t="s">
        <v>1192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90"/>
  </cols>
  <sheetData>
    <row r="1" customFormat="false" ht="21.75" hidden="false" customHeight="true" outlineLevel="0" collapsed="false">
      <c r="A1" s="9" t="s">
        <v>42</v>
      </c>
      <c r="B1" s="9"/>
    </row>
    <row r="3" customFormat="false" ht="21.75" hidden="false" customHeight="true" outlineLevel="0" collapsed="false">
      <c r="A3" s="6" t="s">
        <v>1234</v>
      </c>
      <c r="B3" s="6" t="s">
        <v>1235</v>
      </c>
    </row>
    <row r="4" customFormat="false" ht="15" hidden="false" customHeight="true" outlineLevel="0" collapsed="false">
      <c r="A4" s="10" t="s">
        <v>1236</v>
      </c>
      <c r="B4" s="12" t="s">
        <v>1237</v>
      </c>
    </row>
    <row r="5" customFormat="false" ht="15" hidden="false" customHeight="true" outlineLevel="0" collapsed="false">
      <c r="A5" s="13" t="s">
        <v>1238</v>
      </c>
      <c r="B5" s="8" t="s">
        <v>1239</v>
      </c>
    </row>
    <row r="6" customFormat="false" ht="15" hidden="false" customHeight="true" outlineLevel="0" collapsed="false">
      <c r="A6" s="10" t="s">
        <v>1240</v>
      </c>
      <c r="B6" s="12" t="s">
        <v>1241</v>
      </c>
    </row>
    <row r="7" customFormat="false" ht="15" hidden="false" customHeight="true" outlineLevel="0" collapsed="false">
      <c r="A7" s="13" t="s">
        <v>1242</v>
      </c>
      <c r="B7" s="8" t="s">
        <v>1243</v>
      </c>
    </row>
    <row r="8" customFormat="false" ht="15" hidden="false" customHeight="true" outlineLevel="0" collapsed="false">
      <c r="A8" s="10" t="s">
        <v>1244</v>
      </c>
      <c r="B8" s="12" t="s">
        <v>1245</v>
      </c>
    </row>
    <row r="9" customFormat="false" ht="15" hidden="false" customHeight="true" outlineLevel="0" collapsed="false">
      <c r="A9" s="13" t="s">
        <v>1246</v>
      </c>
      <c r="B9" s="8" t="s">
        <v>1247</v>
      </c>
    </row>
    <row r="10" customFormat="false" ht="15" hidden="false" customHeight="true" outlineLevel="0" collapsed="false">
      <c r="A10" s="10" t="s">
        <v>1248</v>
      </c>
      <c r="B10" s="12" t="s">
        <v>1249</v>
      </c>
    </row>
    <row r="11" customFormat="false" ht="15" hidden="false" customHeight="true" outlineLevel="0" collapsed="false">
      <c r="A11" s="13" t="s">
        <v>1250</v>
      </c>
      <c r="B11" s="8" t="s">
        <v>1251</v>
      </c>
    </row>
    <row r="12" customFormat="false" ht="15" hidden="false" customHeight="true" outlineLevel="0" collapsed="false">
      <c r="A12" s="10" t="s">
        <v>87</v>
      </c>
      <c r="B12" s="12" t="s">
        <v>1252</v>
      </c>
    </row>
    <row r="13" customFormat="false" ht="15" hidden="false" customHeight="true" outlineLevel="0" collapsed="false">
      <c r="A13" s="13" t="s">
        <v>1253</v>
      </c>
      <c r="B13" s="8" t="s">
        <v>1254</v>
      </c>
    </row>
    <row r="14" customFormat="false" ht="15" hidden="false" customHeight="true" outlineLevel="0" collapsed="false">
      <c r="A14" s="10" t="s">
        <v>1255</v>
      </c>
      <c r="B14" s="12" t="s">
        <v>1256</v>
      </c>
    </row>
    <row r="15" customFormat="false" ht="15" hidden="false" customHeight="true" outlineLevel="0" collapsed="false">
      <c r="A15" s="13" t="s">
        <v>1257</v>
      </c>
      <c r="B15" s="8" t="s">
        <v>1258</v>
      </c>
    </row>
    <row r="16" customFormat="false" ht="15" hidden="false" customHeight="true" outlineLevel="0" collapsed="false">
      <c r="A16" s="10" t="s">
        <v>1259</v>
      </c>
      <c r="B16" s="12" t="s">
        <v>1260</v>
      </c>
    </row>
    <row r="17" customFormat="false" ht="15" hidden="false" customHeight="true" outlineLevel="0" collapsed="false">
      <c r="A17" s="13" t="s">
        <v>1261</v>
      </c>
      <c r="B17" s="8" t="s">
        <v>1262</v>
      </c>
    </row>
    <row r="18" customFormat="false" ht="15" hidden="false" customHeight="true" outlineLevel="0" collapsed="false">
      <c r="A18" s="10" t="s">
        <v>1263</v>
      </c>
      <c r="B18" s="12" t="s">
        <v>1264</v>
      </c>
    </row>
    <row r="19" customFormat="false" ht="15" hidden="false" customHeight="true" outlineLevel="0" collapsed="false">
      <c r="A19" s="13" t="s">
        <v>1265</v>
      </c>
      <c r="B19" s="8" t="s">
        <v>1266</v>
      </c>
    </row>
    <row r="20" customFormat="false" ht="15" hidden="false" customHeight="true" outlineLevel="0" collapsed="false">
      <c r="A20" s="10" t="s">
        <v>1267</v>
      </c>
      <c r="B20" s="12" t="s">
        <v>1268</v>
      </c>
    </row>
    <row r="21" customFormat="false" ht="15" hidden="false" customHeight="true" outlineLevel="0" collapsed="false">
      <c r="A21" s="13" t="s">
        <v>1269</v>
      </c>
      <c r="B21" s="8" t="s">
        <v>1270</v>
      </c>
    </row>
    <row r="22" customFormat="false" ht="15" hidden="false" customHeight="true" outlineLevel="0" collapsed="false">
      <c r="A22" s="10" t="s">
        <v>1271</v>
      </c>
      <c r="B22" s="12" t="s">
        <v>1272</v>
      </c>
    </row>
    <row r="23" customFormat="false" ht="15" hidden="false" customHeight="true" outlineLevel="0" collapsed="false">
      <c r="A23" s="13" t="s">
        <v>1273</v>
      </c>
      <c r="B23" s="8" t="s">
        <v>1274</v>
      </c>
    </row>
    <row r="24" customFormat="false" ht="15" hidden="false" customHeight="true" outlineLevel="0" collapsed="false">
      <c r="A24" s="10" t="s">
        <v>1275</v>
      </c>
      <c r="B24" s="12" t="s">
        <v>1276</v>
      </c>
    </row>
    <row r="25" customFormat="false" ht="15" hidden="false" customHeight="true" outlineLevel="0" collapsed="false">
      <c r="A25" s="13" t="s">
        <v>1277</v>
      </c>
      <c r="B25" s="8" t="s">
        <v>1278</v>
      </c>
    </row>
    <row r="26" customFormat="false" ht="15" hidden="false" customHeight="true" outlineLevel="0" collapsed="false">
      <c r="A26" s="10" t="s">
        <v>1279</v>
      </c>
      <c r="B26" s="12" t="s">
        <v>1280</v>
      </c>
    </row>
    <row r="27" customFormat="false" ht="15" hidden="false" customHeight="true" outlineLevel="0" collapsed="false">
      <c r="A27" s="13" t="s">
        <v>1281</v>
      </c>
      <c r="B27" s="8" t="s">
        <v>1282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2026-04-20T23:52:24Z</dcterms:created>
  <dc:creator>openpyxl</dc:creator>
  <dc:description/>
  <dc:language>en-US</dc:language>
  <cp:lastModifiedBy/>
  <dcterms:modified xsi:type="dcterms:W3CDTF">2026-04-21T17:17:32Z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